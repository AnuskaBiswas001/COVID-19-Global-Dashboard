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feabce1617ea8aba/Documents/"/>
    </mc:Choice>
  </mc:AlternateContent>
  <xr:revisionPtr revIDLastSave="1277" documentId="8_{B1FE54ED-26EC-4D29-93E6-41EF9C29B84C}" xr6:coauthVersionLast="47" xr6:coauthVersionMax="47" xr10:uidLastSave="{3F7F5276-6CF3-4CE9-BE4E-1F3E1C4EDCFD}"/>
  <bookViews>
    <workbookView xWindow="-108" yWindow="-108" windowWidth="23256" windowHeight="12456" activeTab="1" xr2:uid="{FF6CB653-6220-46B0-810F-8784E2C55212}"/>
  </bookViews>
  <sheets>
    <sheet name="Covid-19 Dashboard" sheetId="4" r:id="rId1"/>
    <sheet name="Visualisation" sheetId="5" r:id="rId2"/>
    <sheet name="Covid-19 data" sheetId="1" r:id="rId3"/>
    <sheet name="Vlookup &amp; Hlookup" sheetId="3" r:id="rId4"/>
  </sheets>
  <definedNames>
    <definedName name="NativeTimeline_Date_of_First_Case">#N/A</definedName>
    <definedName name="Slicer_Continent">#N/A</definedName>
    <definedName name="Slicer_Risk_Facto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1" l="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B3" i="3"/>
  <c r="B4" i="3"/>
  <c r="B5" i="3"/>
  <c r="B6" i="3"/>
  <c r="B7" i="3"/>
  <c r="B8" i="3"/>
  <c r="B9" i="3"/>
  <c r="B10" i="3"/>
  <c r="B11" i="3"/>
  <c r="B12" i="3"/>
  <c r="B13" i="3"/>
  <c r="B14" i="3"/>
  <c r="B15" i="3"/>
  <c r="B16" i="3"/>
  <c r="B2" i="3"/>
  <c r="C3" i="3"/>
  <c r="C4" i="3"/>
  <c r="C5" i="3"/>
  <c r="C6" i="3"/>
  <c r="C7" i="3"/>
  <c r="C8" i="3"/>
  <c r="C9" i="3"/>
  <c r="C10" i="3"/>
  <c r="C11" i="3"/>
  <c r="C12" i="3"/>
  <c r="C13" i="3"/>
  <c r="C14" i="3"/>
  <c r="C15" i="3"/>
  <c r="C16" i="3"/>
  <c r="C2" i="3"/>
  <c r="J97" i="1"/>
  <c r="J58" i="1"/>
  <c r="J146" i="1"/>
  <c r="J144" i="1"/>
  <c r="J174" i="1"/>
  <c r="J21" i="1"/>
  <c r="J51" i="1"/>
  <c r="J72" i="1"/>
  <c r="J64" i="1"/>
  <c r="J57" i="1"/>
  <c r="J159" i="1"/>
  <c r="J50" i="1"/>
  <c r="J18" i="1"/>
  <c r="J172" i="1"/>
  <c r="J34" i="1"/>
  <c r="J36" i="1"/>
  <c r="J178" i="1"/>
  <c r="J129" i="1"/>
  <c r="J173" i="1"/>
  <c r="J33" i="1"/>
  <c r="J80" i="1"/>
  <c r="J150" i="1"/>
  <c r="J3" i="1"/>
  <c r="J169" i="1"/>
  <c r="J78" i="1"/>
  <c r="J142" i="1"/>
  <c r="J162" i="1"/>
  <c r="J160" i="1"/>
  <c r="J117" i="1"/>
  <c r="J167" i="1"/>
  <c r="J67" i="1"/>
  <c r="J22" i="1"/>
  <c r="J98" i="1"/>
  <c r="J145" i="1"/>
  <c r="J9" i="1"/>
  <c r="J27" i="1"/>
  <c r="J15" i="1"/>
  <c r="J161" i="1"/>
  <c r="J108" i="1"/>
  <c r="J86" i="1"/>
  <c r="J69" i="1"/>
  <c r="J70" i="1"/>
  <c r="J96" i="1"/>
  <c r="J115" i="1"/>
  <c r="J143" i="1"/>
  <c r="J71" i="1"/>
  <c r="J76" i="1"/>
  <c r="J95" i="1"/>
  <c r="J184" i="1"/>
  <c r="J38" i="1"/>
  <c r="J30" i="1"/>
  <c r="J26" i="1"/>
  <c r="J73" i="1"/>
  <c r="J110" i="1"/>
  <c r="J166" i="1"/>
  <c r="J122" i="1"/>
  <c r="J118" i="1"/>
  <c r="J74" i="1"/>
  <c r="J179" i="1"/>
  <c r="J88" i="1"/>
  <c r="J19" i="1"/>
  <c r="J91" i="1"/>
  <c r="J164" i="1"/>
  <c r="J139" i="1"/>
  <c r="J20" i="1"/>
  <c r="J54" i="1"/>
  <c r="J102" i="1"/>
  <c r="J186" i="1"/>
  <c r="J182" i="1"/>
  <c r="J46" i="1"/>
  <c r="J92" i="1"/>
  <c r="J124" i="1"/>
  <c r="J158" i="1"/>
  <c r="J89" i="1"/>
  <c r="J187" i="1"/>
  <c r="J49" i="1"/>
  <c r="J101" i="1"/>
  <c r="J126" i="1"/>
  <c r="J4" i="1"/>
  <c r="J25" i="1"/>
  <c r="J11" i="1"/>
  <c r="J23" i="1"/>
  <c r="J59" i="1"/>
  <c r="J39" i="1"/>
  <c r="J16" i="1"/>
  <c r="J149" i="1"/>
  <c r="J56" i="1"/>
  <c r="J137" i="1"/>
  <c r="J28" i="1"/>
  <c r="J66" i="1"/>
  <c r="J87" i="1"/>
  <c r="J37" i="1"/>
  <c r="J55" i="1"/>
  <c r="J183" i="1"/>
  <c r="J135" i="1"/>
  <c r="J103" i="1"/>
  <c r="J155" i="1"/>
  <c r="J138" i="1"/>
  <c r="J112" i="1"/>
  <c r="J175" i="1"/>
  <c r="J123" i="1"/>
  <c r="J93" i="1"/>
  <c r="J83" i="1"/>
  <c r="J104" i="1"/>
  <c r="J85" i="1"/>
  <c r="J106" i="1"/>
  <c r="J116" i="1"/>
  <c r="J151" i="1"/>
  <c r="J94" i="1"/>
  <c r="J163" i="1"/>
  <c r="J7" i="1"/>
  <c r="J61" i="1"/>
  <c r="J170" i="1"/>
  <c r="J165" i="1"/>
  <c r="J111" i="1"/>
  <c r="J63" i="1"/>
  <c r="J130" i="1"/>
  <c r="J127" i="1"/>
  <c r="J65" i="1"/>
  <c r="J42" i="1"/>
  <c r="J132" i="1"/>
  <c r="J105" i="1"/>
  <c r="J140" i="1"/>
  <c r="J48" i="1"/>
  <c r="J81" i="1"/>
  <c r="J84" i="1"/>
  <c r="J32" i="1"/>
  <c r="J12" i="1"/>
  <c r="J40" i="1"/>
  <c r="J176" i="1"/>
  <c r="J100" i="1"/>
  <c r="J8" i="1"/>
  <c r="J29" i="1"/>
  <c r="J47" i="1"/>
  <c r="J44" i="1"/>
  <c r="J24" i="1"/>
  <c r="J45" i="1"/>
  <c r="J5" i="1"/>
  <c r="J125" i="1"/>
  <c r="J185" i="1"/>
  <c r="J180" i="1"/>
  <c r="J177" i="1"/>
  <c r="J152" i="1"/>
  <c r="J148" i="1"/>
  <c r="J14" i="1"/>
  <c r="J82" i="1"/>
  <c r="J60" i="1"/>
  <c r="J171" i="1"/>
  <c r="J128" i="1"/>
  <c r="J43" i="1"/>
  <c r="J120" i="1"/>
  <c r="J121" i="1"/>
  <c r="J109" i="1"/>
  <c r="J6" i="1"/>
  <c r="J75" i="1"/>
  <c r="J119" i="1"/>
  <c r="J13" i="1"/>
  <c r="J113" i="1"/>
  <c r="J77" i="1"/>
  <c r="J133" i="1"/>
  <c r="J31" i="1"/>
  <c r="J53" i="1"/>
  <c r="J153" i="1"/>
  <c r="J156" i="1"/>
  <c r="J90" i="1"/>
  <c r="J154" i="1"/>
  <c r="J107" i="1"/>
  <c r="J181" i="1"/>
  <c r="J147" i="1"/>
  <c r="J168" i="1"/>
  <c r="J134" i="1"/>
  <c r="J17" i="1"/>
  <c r="J2" i="1"/>
  <c r="J141" i="1"/>
  <c r="J35" i="1"/>
  <c r="J41" i="1"/>
  <c r="J10" i="1"/>
  <c r="J136" i="1"/>
  <c r="J62" i="1"/>
  <c r="J68" i="1"/>
  <c r="J157" i="1"/>
  <c r="J79" i="1"/>
  <c r="J188" i="1"/>
  <c r="J131" i="1"/>
  <c r="J99" i="1"/>
  <c r="J114" i="1"/>
  <c r="J52" i="1"/>
  <c r="I97" i="1"/>
  <c r="L97" i="1" s="1" a="1"/>
  <c r="L97" i="1" s="1"/>
  <c r="I58" i="1"/>
  <c r="L58" i="1" s="1" a="1"/>
  <c r="L58" i="1" s="1"/>
  <c r="I146" i="1"/>
  <c r="L146" i="1" s="1" a="1"/>
  <c r="L146" i="1" s="1"/>
  <c r="I144" i="1"/>
  <c r="L144" i="1" s="1" a="1"/>
  <c r="L144" i="1" s="1"/>
  <c r="I174" i="1"/>
  <c r="L174" i="1" s="1" a="1"/>
  <c r="L174" i="1" s="1"/>
  <c r="I21" i="1"/>
  <c r="L21" i="1" s="1" a="1"/>
  <c r="L21" i="1" s="1"/>
  <c r="I51" i="1"/>
  <c r="L51" i="1" s="1" a="1"/>
  <c r="L51" i="1" s="1"/>
  <c r="I72" i="1"/>
  <c r="L72" i="1" s="1" a="1"/>
  <c r="L72" i="1" s="1"/>
  <c r="I64" i="1"/>
  <c r="L64" i="1" s="1" a="1"/>
  <c r="L64" i="1" s="1"/>
  <c r="I57" i="1"/>
  <c r="L57" i="1" s="1" a="1"/>
  <c r="L57" i="1" s="1"/>
  <c r="I159" i="1"/>
  <c r="L159" i="1" s="1" a="1"/>
  <c r="L159" i="1" s="1"/>
  <c r="I50" i="1"/>
  <c r="L50" i="1" s="1" a="1"/>
  <c r="L50" i="1" s="1"/>
  <c r="I18" i="1"/>
  <c r="L18" i="1" s="1" a="1"/>
  <c r="L18" i="1" s="1"/>
  <c r="I172" i="1"/>
  <c r="L172" i="1" s="1" a="1"/>
  <c r="L172" i="1" s="1"/>
  <c r="I34" i="1"/>
  <c r="L34" i="1" s="1" a="1"/>
  <c r="L34" i="1" s="1"/>
  <c r="I36" i="1"/>
  <c r="L36" i="1" s="1" a="1"/>
  <c r="L36" i="1" s="1"/>
  <c r="I178" i="1"/>
  <c r="L178" i="1" s="1" a="1"/>
  <c r="L178" i="1" s="1"/>
  <c r="I129" i="1"/>
  <c r="L129" i="1" s="1" a="1"/>
  <c r="L129" i="1" s="1"/>
  <c r="I173" i="1"/>
  <c r="L173" i="1" s="1" a="1"/>
  <c r="L173" i="1" s="1"/>
  <c r="I33" i="1"/>
  <c r="L33" i="1" s="1" a="1"/>
  <c r="L33" i="1" s="1"/>
  <c r="I80" i="1"/>
  <c r="L80" i="1" s="1" a="1"/>
  <c r="L80" i="1" s="1"/>
  <c r="I150" i="1"/>
  <c r="L150" i="1" s="1" a="1"/>
  <c r="L150" i="1" s="1"/>
  <c r="I3" i="1"/>
  <c r="L3" i="1" s="1" a="1"/>
  <c r="L3" i="1" s="1"/>
  <c r="I169" i="1"/>
  <c r="L169" i="1" s="1" a="1"/>
  <c r="L169" i="1" s="1"/>
  <c r="I78" i="1"/>
  <c r="L78" i="1" s="1" a="1"/>
  <c r="L78" i="1" s="1"/>
  <c r="I142" i="1"/>
  <c r="L142" i="1" s="1" a="1"/>
  <c r="L142" i="1" s="1"/>
  <c r="I162" i="1"/>
  <c r="L162" i="1" s="1" a="1"/>
  <c r="L162" i="1" s="1"/>
  <c r="I160" i="1"/>
  <c r="L160" i="1" s="1" a="1"/>
  <c r="L160" i="1" s="1"/>
  <c r="I117" i="1"/>
  <c r="L117" i="1" s="1" a="1"/>
  <c r="L117" i="1" s="1"/>
  <c r="I167" i="1"/>
  <c r="L167" i="1" s="1" a="1"/>
  <c r="L167" i="1" s="1"/>
  <c r="I67" i="1"/>
  <c r="L67" i="1" s="1" a="1"/>
  <c r="L67" i="1" s="1"/>
  <c r="I22" i="1"/>
  <c r="L22" i="1" s="1" a="1"/>
  <c r="L22" i="1" s="1"/>
  <c r="I98" i="1"/>
  <c r="L98" i="1" s="1" a="1"/>
  <c r="L98" i="1" s="1"/>
  <c r="I145" i="1"/>
  <c r="L145" i="1" s="1" a="1"/>
  <c r="L145" i="1" s="1"/>
  <c r="I9" i="1"/>
  <c r="L9" i="1" s="1" a="1"/>
  <c r="L9" i="1" s="1"/>
  <c r="I27" i="1"/>
  <c r="L27" i="1" s="1" a="1"/>
  <c r="L27" i="1" s="1"/>
  <c r="I15" i="1"/>
  <c r="L15" i="1" s="1" a="1"/>
  <c r="L15" i="1" s="1"/>
  <c r="I161" i="1"/>
  <c r="L161" i="1" s="1" a="1"/>
  <c r="L161" i="1" s="1"/>
  <c r="I108" i="1"/>
  <c r="L108" i="1" s="1" a="1"/>
  <c r="L108" i="1" s="1"/>
  <c r="I86" i="1"/>
  <c r="L86" i="1" s="1" a="1"/>
  <c r="L86" i="1" s="1"/>
  <c r="I69" i="1"/>
  <c r="L69" i="1" s="1" a="1"/>
  <c r="L69" i="1" s="1"/>
  <c r="I70" i="1"/>
  <c r="L70" i="1" s="1" a="1"/>
  <c r="L70" i="1" s="1"/>
  <c r="I96" i="1"/>
  <c r="L96" i="1" s="1" a="1"/>
  <c r="L96" i="1" s="1"/>
  <c r="I115" i="1"/>
  <c r="L115" i="1" s="1" a="1"/>
  <c r="L115" i="1" s="1"/>
  <c r="I143" i="1"/>
  <c r="L143" i="1" s="1" a="1"/>
  <c r="L143" i="1" s="1"/>
  <c r="I71" i="1"/>
  <c r="L71" i="1" s="1" a="1"/>
  <c r="L71" i="1" s="1"/>
  <c r="I76" i="1"/>
  <c r="L76" i="1" s="1" a="1"/>
  <c r="L76" i="1" s="1"/>
  <c r="I95" i="1"/>
  <c r="L95" i="1" s="1" a="1"/>
  <c r="L95" i="1" s="1"/>
  <c r="I184" i="1"/>
  <c r="L184" i="1" s="1" a="1"/>
  <c r="L184" i="1" s="1"/>
  <c r="I38" i="1"/>
  <c r="L38" i="1" s="1" a="1"/>
  <c r="L38" i="1" s="1"/>
  <c r="I30" i="1"/>
  <c r="L30" i="1" s="1" a="1"/>
  <c r="L30" i="1" s="1"/>
  <c r="I26" i="1"/>
  <c r="L26" i="1" s="1" a="1"/>
  <c r="L26" i="1" s="1"/>
  <c r="I73" i="1"/>
  <c r="L73" i="1" s="1" a="1"/>
  <c r="L73" i="1" s="1"/>
  <c r="I110" i="1"/>
  <c r="L110" i="1" s="1" a="1"/>
  <c r="L110" i="1" s="1"/>
  <c r="I166" i="1"/>
  <c r="L166" i="1" s="1" a="1"/>
  <c r="L166" i="1" s="1"/>
  <c r="I122" i="1"/>
  <c r="L122" i="1" s="1" a="1"/>
  <c r="L122" i="1" s="1"/>
  <c r="I118" i="1"/>
  <c r="L118" i="1" s="1" a="1"/>
  <c r="L118" i="1" s="1"/>
  <c r="I74" i="1"/>
  <c r="L74" i="1" s="1" a="1"/>
  <c r="L74" i="1" s="1"/>
  <c r="I179" i="1"/>
  <c r="L179" i="1" s="1" a="1"/>
  <c r="L179" i="1" s="1"/>
  <c r="I88" i="1"/>
  <c r="L88" i="1" s="1" a="1"/>
  <c r="L88" i="1" s="1"/>
  <c r="I19" i="1"/>
  <c r="L19" i="1" s="1" a="1"/>
  <c r="L19" i="1" s="1"/>
  <c r="I91" i="1"/>
  <c r="L91" i="1" s="1" a="1"/>
  <c r="L91" i="1" s="1"/>
  <c r="I164" i="1"/>
  <c r="L164" i="1" s="1" a="1"/>
  <c r="L164" i="1" s="1"/>
  <c r="I139" i="1"/>
  <c r="L139" i="1" s="1" a="1"/>
  <c r="L139" i="1" s="1"/>
  <c r="I20" i="1"/>
  <c r="L20" i="1" s="1" a="1"/>
  <c r="L20" i="1" s="1"/>
  <c r="I54" i="1"/>
  <c r="L54" i="1" s="1" a="1"/>
  <c r="L54" i="1" s="1"/>
  <c r="I102" i="1"/>
  <c r="L102" i="1" s="1" a="1"/>
  <c r="L102" i="1" s="1"/>
  <c r="I186" i="1"/>
  <c r="L186" i="1" s="1" a="1"/>
  <c r="L186" i="1" s="1"/>
  <c r="I182" i="1"/>
  <c r="L182" i="1" s="1" a="1"/>
  <c r="L182" i="1" s="1"/>
  <c r="I46" i="1"/>
  <c r="L46" i="1" s="1" a="1"/>
  <c r="L46" i="1" s="1"/>
  <c r="I92" i="1"/>
  <c r="L92" i="1" s="1" a="1"/>
  <c r="L92" i="1" s="1"/>
  <c r="I124" i="1"/>
  <c r="L124" i="1" s="1" a="1"/>
  <c r="L124" i="1" s="1"/>
  <c r="I158" i="1"/>
  <c r="L158" i="1" s="1" a="1"/>
  <c r="L158" i="1" s="1"/>
  <c r="I89" i="1"/>
  <c r="L89" i="1" s="1" a="1"/>
  <c r="L89" i="1" s="1"/>
  <c r="I187" i="1"/>
  <c r="L187" i="1" s="1" a="1"/>
  <c r="L187" i="1" s="1"/>
  <c r="I49" i="1"/>
  <c r="L49" i="1" s="1" a="1"/>
  <c r="L49" i="1" s="1"/>
  <c r="I101" i="1"/>
  <c r="L101" i="1" s="1" a="1"/>
  <c r="L101" i="1" s="1"/>
  <c r="I126" i="1"/>
  <c r="L126" i="1" s="1" a="1"/>
  <c r="L126" i="1" s="1"/>
  <c r="I4" i="1"/>
  <c r="L4" i="1" s="1" a="1"/>
  <c r="L4" i="1" s="1"/>
  <c r="I25" i="1"/>
  <c r="L25" i="1" s="1" a="1"/>
  <c r="L25" i="1" s="1"/>
  <c r="I11" i="1"/>
  <c r="L11" i="1" s="1" a="1"/>
  <c r="L11" i="1" s="1"/>
  <c r="I23" i="1"/>
  <c r="L23" i="1" s="1" a="1"/>
  <c r="L23" i="1" s="1"/>
  <c r="I59" i="1"/>
  <c r="L59" i="1" s="1" a="1"/>
  <c r="L59" i="1" s="1"/>
  <c r="I39" i="1"/>
  <c r="L39" i="1" s="1" a="1"/>
  <c r="L39" i="1" s="1"/>
  <c r="I16" i="1"/>
  <c r="L16" i="1" s="1" a="1"/>
  <c r="L16" i="1" s="1"/>
  <c r="I149" i="1"/>
  <c r="L149" i="1" s="1" a="1"/>
  <c r="L149" i="1" s="1"/>
  <c r="I56" i="1"/>
  <c r="L56" i="1" s="1" a="1"/>
  <c r="L56" i="1" s="1"/>
  <c r="I137" i="1"/>
  <c r="L137" i="1" s="1" a="1"/>
  <c r="L137" i="1" s="1"/>
  <c r="I28" i="1"/>
  <c r="L28" i="1" s="1" a="1"/>
  <c r="L28" i="1" s="1"/>
  <c r="I66" i="1"/>
  <c r="L66" i="1" s="1" a="1"/>
  <c r="L66" i="1" s="1"/>
  <c r="I87" i="1"/>
  <c r="L87" i="1" s="1" a="1"/>
  <c r="L87" i="1" s="1"/>
  <c r="I37" i="1"/>
  <c r="L37" i="1" s="1" a="1"/>
  <c r="L37" i="1" s="1"/>
  <c r="I55" i="1"/>
  <c r="L55" i="1" s="1" a="1"/>
  <c r="L55" i="1" s="1"/>
  <c r="I183" i="1"/>
  <c r="L183" i="1" s="1" a="1"/>
  <c r="L183" i="1" s="1"/>
  <c r="I135" i="1"/>
  <c r="L135" i="1" s="1" a="1"/>
  <c r="L135" i="1" s="1"/>
  <c r="I103" i="1"/>
  <c r="L103" i="1" s="1" a="1"/>
  <c r="L103" i="1" s="1"/>
  <c r="I155" i="1"/>
  <c r="L155" i="1" s="1" a="1"/>
  <c r="L155" i="1" s="1"/>
  <c r="I138" i="1"/>
  <c r="L138" i="1" s="1" a="1"/>
  <c r="L138" i="1" s="1"/>
  <c r="I112" i="1"/>
  <c r="L112" i="1" s="1" a="1"/>
  <c r="L112" i="1" s="1"/>
  <c r="I175" i="1"/>
  <c r="L175" i="1" s="1" a="1"/>
  <c r="L175" i="1" s="1"/>
  <c r="I123" i="1"/>
  <c r="L123" i="1" s="1" a="1"/>
  <c r="L123" i="1" s="1"/>
  <c r="I93" i="1"/>
  <c r="L93" i="1" s="1" a="1"/>
  <c r="L93" i="1" s="1"/>
  <c r="I83" i="1"/>
  <c r="L83" i="1" s="1" a="1"/>
  <c r="L83" i="1" s="1"/>
  <c r="I104" i="1"/>
  <c r="L104" i="1" s="1" a="1"/>
  <c r="L104" i="1" s="1"/>
  <c r="I85" i="1"/>
  <c r="L85" i="1" s="1" a="1"/>
  <c r="L85" i="1" s="1"/>
  <c r="I106" i="1"/>
  <c r="L106" i="1" s="1" a="1"/>
  <c r="L106" i="1" s="1"/>
  <c r="I116" i="1"/>
  <c r="L116" i="1" s="1" a="1"/>
  <c r="L116" i="1" s="1"/>
  <c r="I151" i="1"/>
  <c r="L151" i="1" s="1" a="1"/>
  <c r="L151" i="1" s="1"/>
  <c r="I94" i="1"/>
  <c r="L94" i="1" s="1" a="1"/>
  <c r="L94" i="1" s="1"/>
  <c r="I163" i="1"/>
  <c r="L163" i="1" s="1" a="1"/>
  <c r="L163" i="1" s="1"/>
  <c r="I7" i="1"/>
  <c r="L7" i="1" s="1" a="1"/>
  <c r="L7" i="1" s="1"/>
  <c r="I61" i="1"/>
  <c r="L61" i="1" s="1" a="1"/>
  <c r="L61" i="1" s="1"/>
  <c r="I170" i="1"/>
  <c r="L170" i="1" s="1" a="1"/>
  <c r="L170" i="1" s="1"/>
  <c r="I165" i="1"/>
  <c r="L165" i="1" s="1" a="1"/>
  <c r="L165" i="1" s="1"/>
  <c r="I111" i="1"/>
  <c r="L111" i="1" s="1" a="1"/>
  <c r="L111" i="1" s="1"/>
  <c r="I63" i="1"/>
  <c r="L63" i="1" s="1" a="1"/>
  <c r="L63" i="1" s="1"/>
  <c r="I130" i="1"/>
  <c r="L130" i="1" s="1" a="1"/>
  <c r="L130" i="1" s="1"/>
  <c r="I127" i="1"/>
  <c r="L127" i="1" s="1" a="1"/>
  <c r="L127" i="1" s="1"/>
  <c r="I65" i="1"/>
  <c r="L65" i="1" s="1" a="1"/>
  <c r="L65" i="1" s="1"/>
  <c r="I42" i="1"/>
  <c r="L42" i="1" s="1" a="1"/>
  <c r="L42" i="1" s="1"/>
  <c r="I132" i="1"/>
  <c r="L132" i="1" s="1" a="1"/>
  <c r="L132" i="1" s="1"/>
  <c r="I105" i="1"/>
  <c r="L105" i="1" s="1" a="1"/>
  <c r="L105" i="1" s="1"/>
  <c r="I140" i="1"/>
  <c r="L140" i="1" s="1" a="1"/>
  <c r="L140" i="1" s="1"/>
  <c r="I48" i="1"/>
  <c r="L48" i="1" s="1" a="1"/>
  <c r="L48" i="1" s="1"/>
  <c r="I81" i="1"/>
  <c r="L81" i="1" s="1" a="1"/>
  <c r="L81" i="1" s="1"/>
  <c r="I84" i="1"/>
  <c r="L84" i="1" s="1" a="1"/>
  <c r="L84" i="1" s="1"/>
  <c r="I32" i="1"/>
  <c r="L32" i="1" s="1" a="1"/>
  <c r="L32" i="1" s="1"/>
  <c r="I12" i="1"/>
  <c r="L12" i="1" s="1" a="1"/>
  <c r="L12" i="1" s="1"/>
  <c r="I40" i="1"/>
  <c r="L40" i="1" s="1" a="1"/>
  <c r="L40" i="1" s="1"/>
  <c r="I176" i="1"/>
  <c r="L176" i="1" s="1" a="1"/>
  <c r="L176" i="1" s="1"/>
  <c r="I100" i="1"/>
  <c r="L100" i="1" s="1" a="1"/>
  <c r="L100" i="1" s="1"/>
  <c r="I8" i="1"/>
  <c r="L8" i="1" s="1" a="1"/>
  <c r="L8" i="1" s="1"/>
  <c r="I29" i="1"/>
  <c r="L29" i="1" s="1" a="1"/>
  <c r="L29" i="1" s="1"/>
  <c r="I47" i="1"/>
  <c r="L47" i="1" s="1" a="1"/>
  <c r="L47" i="1" s="1"/>
  <c r="I44" i="1"/>
  <c r="L44" i="1" s="1" a="1"/>
  <c r="L44" i="1" s="1"/>
  <c r="I24" i="1"/>
  <c r="L24" i="1" s="1" a="1"/>
  <c r="L24" i="1" s="1"/>
  <c r="I45" i="1"/>
  <c r="L45" i="1" s="1" a="1"/>
  <c r="L45" i="1" s="1"/>
  <c r="I5" i="1"/>
  <c r="L5" i="1" s="1" a="1"/>
  <c r="L5" i="1" s="1"/>
  <c r="I125" i="1"/>
  <c r="L125" i="1" s="1" a="1"/>
  <c r="L125" i="1" s="1"/>
  <c r="I185" i="1"/>
  <c r="L185" i="1" s="1" a="1"/>
  <c r="L185" i="1" s="1"/>
  <c r="I180" i="1"/>
  <c r="L180" i="1" s="1" a="1"/>
  <c r="L180" i="1" s="1"/>
  <c r="I177" i="1"/>
  <c r="L177" i="1" s="1" a="1"/>
  <c r="L177" i="1" s="1"/>
  <c r="I152" i="1"/>
  <c r="L152" i="1" s="1" a="1"/>
  <c r="L152" i="1" s="1"/>
  <c r="I148" i="1"/>
  <c r="L148" i="1" s="1" a="1"/>
  <c r="L148" i="1" s="1"/>
  <c r="I14" i="1"/>
  <c r="L14" i="1" s="1" a="1"/>
  <c r="L14" i="1" s="1"/>
  <c r="I82" i="1"/>
  <c r="L82" i="1" s="1" a="1"/>
  <c r="L82" i="1" s="1"/>
  <c r="I60" i="1"/>
  <c r="L60" i="1" s="1" a="1"/>
  <c r="L60" i="1" s="1"/>
  <c r="I171" i="1"/>
  <c r="L171" i="1" s="1" a="1"/>
  <c r="L171" i="1" s="1"/>
  <c r="I128" i="1"/>
  <c r="L128" i="1" s="1" a="1"/>
  <c r="L128" i="1" s="1"/>
  <c r="I43" i="1"/>
  <c r="L43" i="1" s="1" a="1"/>
  <c r="L43" i="1" s="1"/>
  <c r="I120" i="1"/>
  <c r="L120" i="1" s="1" a="1"/>
  <c r="L120" i="1" s="1"/>
  <c r="I121" i="1"/>
  <c r="L121" i="1" s="1" a="1"/>
  <c r="L121" i="1" s="1"/>
  <c r="I109" i="1"/>
  <c r="L109" i="1" s="1" a="1"/>
  <c r="L109" i="1" s="1"/>
  <c r="I6" i="1"/>
  <c r="L6" i="1" s="1" a="1"/>
  <c r="L6" i="1" s="1"/>
  <c r="I75" i="1"/>
  <c r="L75" i="1" s="1" a="1"/>
  <c r="L75" i="1" s="1"/>
  <c r="I119" i="1"/>
  <c r="L119" i="1" s="1" a="1"/>
  <c r="L119" i="1" s="1"/>
  <c r="I13" i="1"/>
  <c r="L13" i="1" s="1" a="1"/>
  <c r="L13" i="1" s="1"/>
  <c r="I113" i="1"/>
  <c r="L113" i="1" s="1" a="1"/>
  <c r="L113" i="1" s="1"/>
  <c r="I77" i="1"/>
  <c r="L77" i="1" s="1" a="1"/>
  <c r="L77" i="1" s="1"/>
  <c r="I133" i="1"/>
  <c r="L133" i="1" s="1" a="1"/>
  <c r="L133" i="1" s="1"/>
  <c r="I31" i="1"/>
  <c r="L31" i="1" s="1" a="1"/>
  <c r="L31" i="1" s="1"/>
  <c r="I53" i="1"/>
  <c r="L53" i="1" s="1" a="1"/>
  <c r="L53" i="1" s="1"/>
  <c r="I153" i="1"/>
  <c r="L153" i="1" s="1" a="1"/>
  <c r="L153" i="1" s="1"/>
  <c r="I156" i="1"/>
  <c r="L156" i="1" s="1" a="1"/>
  <c r="L156" i="1" s="1"/>
  <c r="I90" i="1"/>
  <c r="L90" i="1" s="1" a="1"/>
  <c r="L90" i="1" s="1"/>
  <c r="I154" i="1"/>
  <c r="L154" i="1" s="1" a="1"/>
  <c r="L154" i="1" s="1"/>
  <c r="I107" i="1"/>
  <c r="L107" i="1" s="1" a="1"/>
  <c r="L107" i="1" s="1"/>
  <c r="I181" i="1"/>
  <c r="L181" i="1" s="1" a="1"/>
  <c r="L181" i="1" s="1"/>
  <c r="I147" i="1"/>
  <c r="L147" i="1" s="1" a="1"/>
  <c r="L147" i="1" s="1"/>
  <c r="I168" i="1"/>
  <c r="L168" i="1" s="1" a="1"/>
  <c r="L168" i="1" s="1"/>
  <c r="I134" i="1"/>
  <c r="L134" i="1" s="1" a="1"/>
  <c r="L134" i="1" s="1"/>
  <c r="I17" i="1"/>
  <c r="L17" i="1" s="1" a="1"/>
  <c r="L17" i="1" s="1"/>
  <c r="I2" i="1"/>
  <c r="L2" i="1" s="1" a="1"/>
  <c r="L2" i="1" s="1"/>
  <c r="I141" i="1"/>
  <c r="L141" i="1" s="1" a="1"/>
  <c r="L141" i="1" s="1"/>
  <c r="I35" i="1"/>
  <c r="L35" i="1" s="1" a="1"/>
  <c r="L35" i="1" s="1"/>
  <c r="I41" i="1"/>
  <c r="L41" i="1" s="1" a="1"/>
  <c r="L41" i="1" s="1"/>
  <c r="I10" i="1"/>
  <c r="L10" i="1" s="1" a="1"/>
  <c r="L10" i="1" s="1"/>
  <c r="I136" i="1"/>
  <c r="L136" i="1" s="1" a="1"/>
  <c r="L136" i="1" s="1"/>
  <c r="I62" i="1"/>
  <c r="L62" i="1" s="1" a="1"/>
  <c r="L62" i="1" s="1"/>
  <c r="I68" i="1"/>
  <c r="L68" i="1" s="1" a="1"/>
  <c r="L68" i="1" s="1"/>
  <c r="I157" i="1"/>
  <c r="L157" i="1" s="1" a="1"/>
  <c r="L157" i="1" s="1"/>
  <c r="I79" i="1"/>
  <c r="L79" i="1" s="1" a="1"/>
  <c r="L79" i="1" s="1"/>
  <c r="I188" i="1"/>
  <c r="L188" i="1" s="1" a="1"/>
  <c r="L188" i="1" s="1"/>
  <c r="I131" i="1"/>
  <c r="L131" i="1" s="1" a="1"/>
  <c r="L131" i="1" s="1"/>
  <c r="I99" i="1"/>
  <c r="L99" i="1" s="1" a="1"/>
  <c r="L99" i="1" s="1"/>
  <c r="I114" i="1"/>
  <c r="L114" i="1" s="1" a="1"/>
  <c r="L114" i="1" s="1"/>
  <c r="I52" i="1"/>
  <c r="L52" i="1" s="1" a="1"/>
  <c r="L5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<sst xmlns="http://schemas.openxmlformats.org/spreadsheetml/2006/main" count="1018" uniqueCount="230">
  <si>
    <t>Country/Region</t>
  </si>
  <si>
    <t>Confirmed</t>
  </si>
  <si>
    <t>Deaths</t>
  </si>
  <si>
    <t>Recovered</t>
  </si>
  <si>
    <t>Active</t>
  </si>
  <si>
    <t>Afghanistan</t>
  </si>
  <si>
    <t>Albania</t>
  </si>
  <si>
    <t>Algeria</t>
  </si>
  <si>
    <t>Andorra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</si>
  <si>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</si>
  <si>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</si>
  <si>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</si>
  <si>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</si>
  <si>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</si>
  <si>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</si>
  <si>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</si>
  <si>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</si>
  <si>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</si>
  <si>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</si>
  <si>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</si>
  <si>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</si>
  <si>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</si>
  <si>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</si>
  <si>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</si>
  <si>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</si>
  <si>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Bolivia</t>
  </si>
  <si>
    <t>Bosnia and Herzegovina</t>
  </si>
  <si>
    <t>Botswana</t>
  </si>
  <si>
    <t>Brazil</t>
  </si>
  <si>
    <t>Brunei</t>
  </si>
  <si>
    <t>Bulgaria</t>
  </si>
  <si>
    <t>Burkina Faso</t>
  </si>
  <si>
    <t>Burundi</t>
  </si>
  <si>
    <t>Cabo Verde</t>
  </si>
  <si>
    <t>Cambodia</t>
  </si>
  <si>
    <t>Cameroon</t>
  </si>
  <si>
    <t>Canada</t>
  </si>
  <si>
    <t>Central African Republic</t>
  </si>
  <si>
    <t>Chad</t>
  </si>
  <si>
    <t>Chile</t>
  </si>
  <si>
    <t>China</t>
  </si>
  <si>
    <t>Colombia</t>
  </si>
  <si>
    <t>Comoros</t>
  </si>
  <si>
    <t>Congo (Brazzaville)</t>
  </si>
  <si>
    <t>Congo (Kinshasa)</t>
  </si>
  <si>
    <t>Costa Rica</t>
  </si>
  <si>
    <t>Cote d'Ivoire</t>
  </si>
  <si>
    <t>Croatia</t>
  </si>
  <si>
    <t>Cuba</t>
  </si>
  <si>
    <t>Cyprus</t>
  </si>
  <si>
    <t>Czechia</t>
  </si>
  <si>
    <t>Denmark</t>
  </si>
  <si>
    <t>Djibouti</t>
  </si>
  <si>
    <t>Dominica</t>
  </si>
  <si>
    <t>Dominican Republic</t>
  </si>
  <si>
    <t>Ecuador</t>
  </si>
  <si>
    <t>Egypt</t>
  </si>
  <si>
    <t>El Salvador</t>
  </si>
  <si>
    <t>Equatorial Guinea</t>
  </si>
  <si>
    <t>Eritrea</t>
  </si>
  <si>
    <t>Estonia</t>
  </si>
  <si>
    <t>Eswatini</t>
  </si>
  <si>
    <t>Ethiopia</t>
  </si>
  <si>
    <t>Fiji</t>
  </si>
  <si>
    <t>Finland</t>
  </si>
  <si>
    <t>France</t>
  </si>
  <si>
    <t>Gabon</t>
  </si>
  <si>
    <t>Gambia</t>
  </si>
  <si>
    <t>Georgia</t>
  </si>
  <si>
    <t>Germany</t>
  </si>
  <si>
    <t>Ghana</t>
  </si>
  <si>
    <t>Greece</t>
  </si>
  <si>
    <t>Greenland</t>
  </si>
  <si>
    <t>Grenada</t>
  </si>
  <si>
    <t>Guatemala</t>
  </si>
  <si>
    <t>Guinea</t>
  </si>
  <si>
    <t>Guinea-Bissau</t>
  </si>
  <si>
    <t>Guyana</t>
  </si>
  <si>
    <t>Haiti</t>
  </si>
  <si>
    <t>Holy See</t>
  </si>
  <si>
    <t>Honduras</t>
  </si>
  <si>
    <t>Hungary</t>
  </si>
  <si>
    <t>Iceland</t>
  </si>
  <si>
    <t>India</t>
  </si>
  <si>
    <t>Indonesia</t>
  </si>
  <si>
    <t>Iran</t>
  </si>
  <si>
    <t>Iraq</t>
  </si>
  <si>
    <t>Ireland</t>
  </si>
  <si>
    <t>Israel</t>
  </si>
  <si>
    <t>Italy</t>
  </si>
  <si>
    <t>Jamaica</t>
  </si>
  <si>
    <t>Japan</t>
  </si>
  <si>
    <t>Jordan</t>
  </si>
  <si>
    <t>Kazakhstan</t>
  </si>
  <si>
    <t>Kenya</t>
  </si>
  <si>
    <t>Kosovo</t>
  </si>
  <si>
    <t>Kuwait</t>
  </si>
  <si>
    <t>Kyrgyzstan</t>
  </si>
  <si>
    <t>Laos</t>
  </si>
  <si>
    <t>Latvia</t>
  </si>
  <si>
    <t>Lebanon</t>
  </si>
  <si>
    <t>Lesotho</t>
  </si>
  <si>
    <t>Liberia</t>
  </si>
  <si>
    <t>Libya</t>
  </si>
  <si>
    <t>Liechtenstein</t>
  </si>
  <si>
    <t>Lithuania</t>
  </si>
  <si>
    <t>Luxembourg</t>
  </si>
  <si>
    <t>Madagascar</t>
  </si>
  <si>
    <t>Malawi</t>
  </si>
  <si>
    <t>Malaysia</t>
  </si>
  <si>
    <t>Maldives</t>
  </si>
  <si>
    <t>Mali</t>
  </si>
  <si>
    <t>Malta</t>
  </si>
  <si>
    <t>Mauritania</t>
  </si>
  <si>
    <t>Mauritius</t>
  </si>
  <si>
    <t>Mexico</t>
  </si>
  <si>
    <t>Moldova</t>
  </si>
  <si>
    <t>Monaco</t>
  </si>
  <si>
    <t>Mongolia</t>
  </si>
  <si>
    <t>Montenegro</t>
  </si>
  <si>
    <t>Morocco</t>
  </si>
  <si>
    <t>Mozambique</t>
  </si>
  <si>
    <t>Namibia</t>
  </si>
  <si>
    <t>Nepal</t>
  </si>
  <si>
    <t>Netherlands</t>
  </si>
  <si>
    <t>New Zealand</t>
  </si>
  <si>
    <t>Nicaragua</t>
  </si>
  <si>
    <t>Niger</t>
  </si>
  <si>
    <t>Nigeria</t>
  </si>
  <si>
    <t>North Macedonia</t>
  </si>
  <si>
    <t>Norway</t>
  </si>
  <si>
    <t>Oman</t>
  </si>
  <si>
    <t>Pakistan</t>
  </si>
  <si>
    <t>Panama</t>
  </si>
  <si>
    <t>Papua New Guinea</t>
  </si>
  <si>
    <t>Paraguay</t>
  </si>
  <si>
    <t>Peru</t>
  </si>
  <si>
    <t>Philippines</t>
  </si>
  <si>
    <t>Poland</t>
  </si>
  <si>
    <t>Portugal</t>
  </si>
  <si>
    <t>Qatar</t>
  </si>
  <si>
    <t>Romania</t>
  </si>
  <si>
    <t>Russia</t>
  </si>
  <si>
    <t>Rwanda</t>
  </si>
  <si>
    <t>Saint Kitts and Nevis</t>
  </si>
  <si>
    <t>Saint Lucia</t>
  </si>
  <si>
    <t>Saint Vincent and the Grenadines</t>
  </si>
  <si>
    <t>San Marino</t>
  </si>
  <si>
    <t>Sao Tome and Principe</t>
  </si>
  <si>
    <t>Saudi Arabia</t>
  </si>
  <si>
    <t>Senegal</t>
  </si>
  <si>
    <t>Serbia</t>
  </si>
  <si>
    <t>Seychelles</t>
  </si>
  <si>
    <t>Sierra Leone</t>
  </si>
  <si>
    <t>Singapore</t>
  </si>
  <si>
    <t>Slovakia</t>
  </si>
  <si>
    <t>Slovenia</t>
  </si>
  <si>
    <t>Somalia</t>
  </si>
  <si>
    <t>South Africa</t>
  </si>
  <si>
    <t>South Korea</t>
  </si>
  <si>
    <t>South Sudan</t>
  </si>
  <si>
    <t>Spain</t>
  </si>
  <si>
    <t>Sri Lanka</t>
  </si>
  <si>
    <t>Sudan</t>
  </si>
  <si>
    <t>Suriname</t>
  </si>
  <si>
    <t>Sweden</t>
  </si>
  <si>
    <t>Switzerland</t>
  </si>
  <si>
    <t>Syria</t>
  </si>
  <si>
    <t>Tajikistan</t>
  </si>
  <si>
    <t>Tanzania</t>
  </si>
  <si>
    <t>Thailand</t>
  </si>
  <si>
    <t>Timor-Leste</t>
  </si>
  <si>
    <t>Togo</t>
  </si>
  <si>
    <t>Trinidad and Tobago</t>
  </si>
  <si>
    <t>Tunisia</t>
  </si>
  <si>
    <t>Turkey</t>
  </si>
  <si>
    <t>US</t>
  </si>
  <si>
    <t>Uganda</t>
  </si>
  <si>
    <t>Ukraine</t>
  </si>
  <si>
    <t>United Arab Emirates</t>
  </si>
  <si>
    <t>United Kingdom</t>
  </si>
  <si>
    <t>Uruguay</t>
  </si>
  <si>
    <t>Uzbekistan</t>
  </si>
  <si>
    <t>Venezuela</t>
  </si>
  <si>
    <t>Vietnam</t>
  </si>
  <si>
    <t>West Bank and Gaza</t>
  </si>
  <si>
    <t>Western Sahara</t>
  </si>
  <si>
    <t>Yemen</t>
  </si>
  <si>
    <t>Zambia</t>
  </si>
  <si>
    <t>Zimbabwe</t>
  </si>
  <si>
    <t>Taiwan</t>
  </si>
  <si>
    <t>Myanmar</t>
  </si>
  <si>
    <t>Population</t>
  </si>
  <si>
    <t>Continent</t>
  </si>
  <si>
    <t>Date of First Case</t>
  </si>
  <si>
    <t>Asia</t>
  </si>
  <si>
    <t>Europe</t>
  </si>
  <si>
    <t>Africa</t>
  </si>
  <si>
    <t>North America</t>
  </si>
  <si>
    <t>South America</t>
  </si>
  <si>
    <t>Australia/Oceania</t>
  </si>
  <si>
    <t> 17224679</t>
  </si>
  <si>
    <t>Death Rate</t>
  </si>
  <si>
    <t>Recovery Rate</t>
  </si>
  <si>
    <t>Infection Rate</t>
  </si>
  <si>
    <t>Risk Factor</t>
  </si>
  <si>
    <t xml:space="preserve">                                      </t>
  </si>
  <si>
    <t>Row Labels</t>
  </si>
  <si>
    <t>Grand Total</t>
  </si>
  <si>
    <t>High Risk</t>
  </si>
  <si>
    <t>Low Risk</t>
  </si>
  <si>
    <t>Moderate Risk</t>
  </si>
  <si>
    <t>Sum of Confirmed</t>
  </si>
  <si>
    <t>Covid-19 Global Dashboard</t>
  </si>
  <si>
    <t>Sum of Recovered</t>
  </si>
  <si>
    <t>Average Recovery Rate</t>
  </si>
  <si>
    <t>Country/Region Count</t>
  </si>
  <si>
    <t>Total Confirmed Cases</t>
  </si>
  <si>
    <t>Total Population</t>
  </si>
  <si>
    <t/>
  </si>
  <si>
    <t>2019</t>
  </si>
  <si>
    <t>2020</t>
  </si>
  <si>
    <t>Nov</t>
  </si>
  <si>
    <t>Dec</t>
  </si>
  <si>
    <t>Apr</t>
  </si>
  <si>
    <t>May</t>
  </si>
  <si>
    <t>Jan</t>
  </si>
  <si>
    <t>Feb</t>
  </si>
  <si>
    <t>Mar</t>
  </si>
  <si>
    <t>Sum of Deaths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</si>
</sst>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7" x14ac:knownFonts="1">
    <font>
      <sz val="11"/>
      <color theme="1"/>
      <name val="Aptos Narrow"/>
      <family val="2"/>
      <scheme val="minor"/>
    </font>
    <font>
      <b/>
      <sz val="11"/>
      <color theme="0"/>
      <name val="Aptos Narrow"/>
      <family val="2"/>
      <scheme val="minor"/>
    </font>
    <font>
      <b/>
      <sz val="11"/>
      <color theme="0"/>
      <name val="Calibri"/>
      <family val="2"/>
    </font>
    <font>
      <sz val="8"/>
      <name val="Aptos Narrow"/>
      <family val="2"/>
      <scheme val="minor"/>
    </font>
    <font>
      <sz val="36"/>
      <color theme="1"/>
      <name val="Aptos Narrow"/>
      <family val="2"/>
      <scheme val="minor"/>
    </font>
    <font>
      <sz val="18"/>
      <color theme="1"/>
      <name val="Aptos Narrow"/>
      <family val="2"/>
      <scheme val="minor"/>
    </font>
    <font>
      <sz val="16"/>
      <color theme="1"/>
      <name val="Aptos Narrow"/>
      <family val="2"/>
      <scheme val="minor"/>
    </font>
  </fonts>
  <fills count="9">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rgb="FFFF0000"/>
        <bgColor indexed="64"/>
      </patternFill>
    </fill>
    <fill>
      <patternFill patternType="solid">
        <fgColor rgb="FFFF0000"/>
        <bgColor theme="4" tint="0.79998168889431442"/>
      </patternFill>
    </fill>
    <fill>
      <patternFill patternType="solid">
        <fgColor rgb="FFFFC000"/>
        <bgColor indexed="64"/>
      </patternFill>
    </fill>
    <fill>
      <patternFill patternType="solid">
        <fgColor theme="4" tint="-0.249977111117893"/>
        <bgColor theme="4"/>
      </patternFill>
    </fill>
    <fill>
      <patternFill patternType="solid">
        <fgColor theme="4" tint="-0.249977111117893"/>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top style="thin">
        <color theme="4" tint="0.39997558519241921"/>
      </top>
      <bottom/>
      <diagonal/>
    </border>
    <border>
      <left style="thin">
        <color indexed="64"/>
      </left>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style="thin">
        <color theme="4" tint="0.39997558519241921"/>
      </bottom>
      <diagonal/>
    </border>
    <border>
      <left/>
      <right/>
      <top style="thin">
        <color theme="4" tint="0.39997558519241921"/>
      </top>
      <bottom style="thin">
        <color theme="4" tint="0.39997558519241921"/>
      </bottom>
      <diagonal/>
    </border>
  </borders>
  <cellStyleXfs count="1">
    <xf numFmtId="0" fontId="0" fillId="0" borderId="0"/>
  </cellStyleXfs>
  <cellXfs count="73">
    <xf numFmtId="0" fontId="0" fillId="0" borderId="0" xfId="0"/>
    <xf numFmtId="15" fontId="0" fillId="0" borderId="0" xfId="0" applyNumberFormat="1"/>
    <xf numFmtId="0" fontId="0" fillId="0" borderId="0" xfId="0" applyAlignment="1">
      <alignment horizontal="right" indent="1"/>
    </xf>
    <xf numFmtId="1" fontId="0" fillId="0" borderId="0" xfId="0" applyNumberFormat="1" applyAlignment="1">
      <alignment horizontal="right" indent="1"/>
    </xf>
    <xf numFmtId="14" fontId="0" fillId="0" borderId="0" xfId="0" applyNumberFormat="1" applyAlignment="1">
      <alignment horizontal="right" indent="1"/>
    </xf>
    <xf numFmtId="0" fontId="0" fillId="3" borderId="2" xfId="0" applyFill="1" applyBorder="1" applyAlignment="1">
      <alignment horizontal="left" vertical="center" indent="1"/>
    </xf>
    <xf numFmtId="0" fontId="0" fillId="0" borderId="2" xfId="0" applyBorder="1" applyAlignment="1">
      <alignment horizontal="left" vertical="center" indent="1"/>
    </xf>
    <xf numFmtId="0" fontId="0" fillId="3" borderId="2" xfId="0" applyFill="1" applyBorder="1" applyAlignment="1">
      <alignment horizontal="right" vertical="center"/>
    </xf>
    <xf numFmtId="164" fontId="0" fillId="3" borderId="3" xfId="0" applyNumberFormat="1" applyFill="1" applyBorder="1" applyAlignment="1">
      <alignment horizontal="right" vertical="center"/>
    </xf>
    <xf numFmtId="0" fontId="0" fillId="0" borderId="2" xfId="0" applyBorder="1" applyAlignment="1">
      <alignment horizontal="right" vertical="center"/>
    </xf>
    <xf numFmtId="164" fontId="0" fillId="0" borderId="3" xfId="0" applyNumberFormat="1" applyBorder="1" applyAlignment="1">
      <alignment horizontal="right" vertical="center"/>
    </xf>
    <xf numFmtId="1" fontId="0" fillId="3" borderId="2" xfId="0" applyNumberFormat="1" applyFill="1" applyBorder="1" applyAlignment="1">
      <alignment horizontal="right" vertical="center"/>
    </xf>
    <xf numFmtId="1" fontId="0" fillId="0" borderId="2" xfId="0" applyNumberFormat="1" applyBorder="1" applyAlignment="1">
      <alignment horizontal="right" vertical="center"/>
    </xf>
    <xf numFmtId="0" fontId="0" fillId="0" borderId="0" xfId="0" applyAlignment="1">
      <alignment horizontal="left" indent="2"/>
    </xf>
    <xf numFmtId="0" fontId="0" fillId="0" borderId="0" xfId="0" applyAlignment="1">
      <alignment horizontal="left" vertical="center" indent="3"/>
    </xf>
    <xf numFmtId="10" fontId="0" fillId="0" borderId="0" xfId="0" applyNumberFormat="1"/>
    <xf numFmtId="0" fontId="0" fillId="3" borderId="6" xfId="0" applyFill="1" applyBorder="1" applyAlignment="1">
      <alignment horizontal="left" vertical="center" indent="1"/>
    </xf>
    <xf numFmtId="0" fontId="0" fillId="0" borderId="6" xfId="0" applyBorder="1" applyAlignment="1">
      <alignment horizontal="left" vertical="center" indent="1"/>
    </xf>
    <xf numFmtId="0" fontId="0" fillId="4" borderId="6" xfId="0" applyFill="1" applyBorder="1" applyAlignment="1">
      <alignment horizontal="left" vertical="center" indent="1"/>
    </xf>
    <xf numFmtId="0" fontId="0" fillId="5" borderId="6" xfId="0" applyFill="1" applyBorder="1" applyAlignment="1">
      <alignment horizontal="left" vertical="center" indent="1"/>
    </xf>
    <xf numFmtId="0" fontId="0" fillId="4" borderId="7" xfId="0" applyFill="1" applyBorder="1" applyAlignment="1">
      <alignment horizontal="left" vertical="center" indent="1"/>
    </xf>
    <xf numFmtId="3" fontId="0" fillId="0" borderId="2" xfId="0" applyNumberFormat="1" applyBorder="1" applyAlignment="1">
      <alignment vertical="center"/>
    </xf>
    <xf numFmtId="0" fontId="0" fillId="3" borderId="4" xfId="0" applyFill="1" applyBorder="1" applyAlignment="1">
      <alignment horizontal="right" vertical="center"/>
    </xf>
    <xf numFmtId="0" fontId="0" fillId="3" borderId="8" xfId="0" applyFill="1" applyBorder="1" applyAlignment="1">
      <alignment horizontal="left" vertical="center" indent="1"/>
    </xf>
    <xf numFmtId="0" fontId="0" fillId="3" borderId="8" xfId="0" applyFill="1" applyBorder="1" applyAlignment="1">
      <alignment horizontal="right" vertical="center"/>
    </xf>
    <xf numFmtId="0" fontId="0" fillId="0" borderId="8" xfId="0" applyBorder="1" applyAlignment="1">
      <alignment horizontal="left" vertical="center" indent="1"/>
    </xf>
    <xf numFmtId="0" fontId="0" fillId="0" borderId="8" xfId="0" applyBorder="1" applyAlignment="1">
      <alignment horizontal="right" vertical="center"/>
    </xf>
    <xf numFmtId="0" fontId="0" fillId="4" borderId="8" xfId="0" applyFill="1" applyBorder="1" applyAlignment="1">
      <alignment horizontal="left" vertical="center" indent="1"/>
    </xf>
    <xf numFmtId="0" fontId="1" fillId="2" borderId="8" xfId="0" applyFont="1" applyFill="1" applyBorder="1" applyAlignment="1">
      <alignment horizontal="left" vertical="center" indent="1"/>
    </xf>
    <xf numFmtId="0" fontId="1" fillId="2" borderId="8" xfId="0" applyFont="1" applyFill="1" applyBorder="1" applyAlignment="1">
      <alignment horizontal="right" vertical="center"/>
    </xf>
    <xf numFmtId="0" fontId="0" fillId="3" borderId="5" xfId="0" applyFill="1" applyBorder="1" applyAlignment="1">
      <alignment horizontal="right" vertical="center"/>
    </xf>
    <xf numFmtId="1" fontId="1" fillId="2" borderId="8" xfId="0" applyNumberFormat="1" applyFont="1" applyFill="1" applyBorder="1" applyAlignment="1">
      <alignment horizontal="right" vertical="center"/>
    </xf>
    <xf numFmtId="0" fontId="0" fillId="5" borderId="8" xfId="0" applyFill="1" applyBorder="1" applyAlignment="1">
      <alignment horizontal="left" vertical="center" indent="1"/>
    </xf>
    <xf numFmtId="1" fontId="0" fillId="3" borderId="8" xfId="0" applyNumberFormat="1" applyFill="1" applyBorder="1" applyAlignment="1">
      <alignment horizontal="right" vertical="center"/>
    </xf>
    <xf numFmtId="3" fontId="0" fillId="0" borderId="8" xfId="0" applyNumberFormat="1" applyBorder="1" applyAlignment="1">
      <alignment vertical="center"/>
    </xf>
    <xf numFmtId="0" fontId="0" fillId="3" borderId="9" xfId="0" applyFill="1" applyBorder="1" applyAlignment="1">
      <alignment horizontal="right" vertical="center"/>
    </xf>
    <xf numFmtId="1" fontId="0" fillId="0" borderId="8" xfId="0" applyNumberFormat="1" applyBorder="1" applyAlignment="1">
      <alignment horizontal="right" vertical="center"/>
    </xf>
    <xf numFmtId="0" fontId="0" fillId="4" borderId="5" xfId="0" applyFill="1" applyBorder="1" applyAlignment="1">
      <alignment horizontal="left" vertical="center" indent="1"/>
    </xf>
    <xf numFmtId="0" fontId="0" fillId="3" borderId="5" xfId="0" applyFill="1" applyBorder="1" applyAlignment="1">
      <alignment horizontal="left" vertical="center" indent="1"/>
    </xf>
    <xf numFmtId="0" fontId="4" fillId="6" borderId="0" xfId="0" applyFont="1" applyFill="1"/>
    <xf numFmtId="0" fontId="0" fillId="6" borderId="0" xfId="0" applyFill="1"/>
    <xf numFmtId="0" fontId="5" fillId="0" borderId="0" xfId="0" applyFont="1"/>
    <xf numFmtId="0" fontId="5" fillId="0" borderId="0" xfId="0" pivotButton="1" applyFont="1"/>
    <xf numFmtId="0" fontId="5" fillId="0" borderId="0" xfId="0" applyFont="1" applyAlignment="1">
      <alignment horizontal="left"/>
    </xf>
    <xf numFmtId="10" fontId="5" fillId="0" borderId="0" xfId="0" applyNumberFormat="1" applyFont="1"/>
    <xf numFmtId="0" fontId="6" fillId="0" borderId="0" xfId="0" pivotButton="1" applyFont="1"/>
    <xf numFmtId="0" fontId="6" fillId="0" borderId="0" xfId="0" applyFont="1"/>
    <xf numFmtId="0" fontId="6" fillId="0" borderId="0" xfId="0" applyFont="1" applyAlignment="1">
      <alignment horizontal="left"/>
    </xf>
    <xf numFmtId="0" fontId="0" fillId="0" borderId="0" xfId="0" pivotButton="1"/>
    <xf numFmtId="0" fontId="0" fillId="0" borderId="0" xfId="0" applyAlignment="1">
      <alignment horizontal="left"/>
    </xf>
    <xf numFmtId="0" fontId="0" fillId="4" borderId="0" xfId="0" applyFill="1"/>
    <xf numFmtId="0" fontId="0" fillId="4" borderId="2" xfId="0" applyFill="1" applyBorder="1" applyAlignment="1">
      <alignment horizontal="right" vertical="center"/>
    </xf>
    <xf numFmtId="0" fontId="0" fillId="4" borderId="2" xfId="0" applyFill="1" applyBorder="1" applyAlignment="1">
      <alignment horizontal="left" vertical="center" indent="1"/>
    </xf>
    <xf numFmtId="164" fontId="0" fillId="4" borderId="3" xfId="0" applyNumberFormat="1" applyFill="1" applyBorder="1" applyAlignment="1">
      <alignment horizontal="right" vertical="center"/>
    </xf>
    <xf numFmtId="10" fontId="0" fillId="4" borderId="0" xfId="0" applyNumberFormat="1" applyFill="1"/>
    <xf numFmtId="0" fontId="0" fillId="5" borderId="2" xfId="0" applyFill="1" applyBorder="1" applyAlignment="1">
      <alignment horizontal="right" vertical="center"/>
    </xf>
    <xf numFmtId="0" fontId="0" fillId="5" borderId="2" xfId="0" applyFill="1" applyBorder="1" applyAlignment="1">
      <alignment horizontal="left" vertical="center" indent="1"/>
    </xf>
    <xf numFmtId="164" fontId="0" fillId="5" borderId="3" xfId="0" applyNumberFormat="1" applyFill="1" applyBorder="1" applyAlignment="1">
      <alignment horizontal="right" vertical="center"/>
    </xf>
    <xf numFmtId="1" fontId="0" fillId="5" borderId="2" xfId="0" applyNumberFormat="1" applyFill="1" applyBorder="1" applyAlignment="1">
      <alignment horizontal="right" vertical="center"/>
    </xf>
    <xf numFmtId="0" fontId="0" fillId="4" borderId="5" xfId="0" applyFill="1" applyBorder="1" applyAlignment="1">
      <alignment horizontal="right" vertical="center"/>
    </xf>
    <xf numFmtId="164" fontId="0" fillId="4" borderId="1" xfId="0" applyNumberFormat="1" applyFill="1" applyBorder="1" applyAlignment="1">
      <alignment horizontal="right" vertical="center"/>
    </xf>
    <xf numFmtId="1" fontId="0" fillId="4" borderId="0" xfId="0" applyNumberFormat="1" applyFill="1" applyAlignment="1">
      <alignment horizontal="right" indent="1"/>
    </xf>
    <xf numFmtId="0" fontId="1" fillId="7" borderId="6" xfId="0" applyFont="1" applyFill="1" applyBorder="1" applyAlignment="1">
      <alignment horizontal="left" vertical="center" indent="1"/>
    </xf>
    <xf numFmtId="0" fontId="1" fillId="7" borderId="2" xfId="0" applyFont="1" applyFill="1" applyBorder="1" applyAlignment="1">
      <alignment horizontal="right" vertical="center"/>
    </xf>
    <xf numFmtId="1" fontId="1" fillId="7" borderId="2" xfId="0" applyNumberFormat="1" applyFont="1" applyFill="1" applyBorder="1" applyAlignment="1">
      <alignment horizontal="right" vertical="center"/>
    </xf>
    <xf numFmtId="0" fontId="1" fillId="7" borderId="2" xfId="0" applyFont="1" applyFill="1" applyBorder="1" applyAlignment="1">
      <alignment horizontal="left" vertical="center" indent="1"/>
    </xf>
    <xf numFmtId="14" fontId="2" fillId="7" borderId="3" xfId="0" applyNumberFormat="1" applyFont="1" applyFill="1" applyBorder="1" applyAlignment="1">
      <alignment horizontal="right" vertical="center"/>
    </xf>
    <xf numFmtId="0" fontId="0" fillId="8" borderId="0" xfId="0" applyFill="1"/>
    <xf numFmtId="0" fontId="0" fillId="0" borderId="0" xfId="0" applyNumberFormat="1"/>
    <xf numFmtId="0" fontId="5" fillId="0" borderId="0" xfId="0" applyNumberFormat="1" applyFont="1"/>
    <xf numFmtId="0" fontId="5" fillId="0" borderId="0" xfId="0" applyNumberFormat="1" applyFont="1" applyFill="1"/>
    <xf numFmtId="0" fontId="6" fillId="0" borderId="0" xfId="0" applyNumberFormat="1" applyFont="1"/>
    <xf numFmtId="0" fontId="0" fillId="0" borderId="0" xfId="0" applyAlignment="1">
      <alignment horizontal="left" indent="1"/>
    </xf>
  </cellXfs>
  <cellStyles count="1">
    <cellStyle name="Normal" xfId="0" builtinId="0"/>
  </cellStyles>
  <dxfs count="53">
    <dxf>
      <fill>
        <patternFill>
          <bgColor rgb="FFFF0000"/>
        </patternFill>
      </fill>
    </dxf>
    <dxf>
      <numFmt numFmtId="0" formatCode="General"/>
    </dxf>
    <dxf>
      <fill>
        <patternFill>
          <bgColor rgb="FFFF0000"/>
        </patternFill>
      </fill>
    </dxf>
    <dxf>
      <numFmt numFmtId="14" formatCode="0.00%"/>
    </dxf>
    <dxf>
      <numFmt numFmtId="14" formatCode="0.00%"/>
      <fill>
        <patternFill>
          <bgColor rgb="FFFF0000"/>
        </patternFill>
      </fill>
    </dxf>
    <dxf>
      <numFmt numFmtId="14" formatCode="0.00%"/>
    </dxf>
    <dxf>
      <numFmt numFmtId="14" formatCode="0.00%"/>
      <fill>
        <patternFill>
          <bgColor rgb="FFFF0000"/>
        </patternFill>
      </fill>
    </dxf>
    <dxf>
      <numFmt numFmtId="14" formatCode="0.00%"/>
    </dxf>
    <dxf>
      <numFmt numFmtId="164" formatCode="[$-409]d\-mmm\-yyyy;@"/>
      <fill>
        <patternFill patternType="solid">
          <fgColor theme="4" tint="0.79998168889431442"/>
          <bgColor rgb="FFFF0000"/>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border>
    </dxf>
    <dxf>
      <numFmt numFmtId="164" formatCode="[$-409]d\-mmm\-yyyy;@"/>
      <fill>
        <patternFill patternType="solid">
          <fgColor theme="4" tint="0.79998168889431442"/>
          <bgColor theme="4" tint="0.79998168889431442"/>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vertical/>
        <horizontal/>
      </border>
    </dxf>
    <dxf>
      <fill>
        <patternFill patternType="solid">
          <fgColor theme="4" tint="0.79998168889431442"/>
          <bgColor rgb="FFFF0000"/>
        </patternFill>
      </fill>
      <alignment horizontal="left" vertical="center" textRotation="0" wrapText="0" indent="1" justifyLastLine="0" shrinkToFit="0" readingOrder="0"/>
      <border diagonalUp="0" diagonalDown="0" outline="0">
        <left style="thin">
          <color indexed="64"/>
        </left>
        <right/>
        <top style="thin">
          <color indexed="64"/>
        </top>
        <bottom/>
      </border>
    </dxf>
    <dxf>
      <fill>
        <patternFill patternType="solid">
          <fgColor theme="4" tint="0.79998168889431442"/>
          <bgColor theme="4" tint="0.79998168889431442"/>
        </patternFill>
      </fill>
      <alignment horizontal="left" vertical="center" textRotation="0" wrapText="0" indent="1" justifyLastLine="0" shrinkToFit="0" readingOrder="0"/>
      <border diagonalUp="0" diagonalDown="0">
        <left style="thin">
          <color indexed="64"/>
        </left>
        <right/>
        <top style="thin">
          <color indexed="64"/>
        </top>
        <bottom/>
        <vertical/>
        <horizontal/>
      </border>
    </dxf>
    <dxf>
      <numFmt numFmtId="1" formatCode="0"/>
      <fill>
        <patternFill>
          <bgColor rgb="FFFF0000"/>
        </patternFill>
      </fill>
      <alignment horizontal="right" vertical="bottom" textRotation="0" wrapText="0" indent="1" justifyLastLine="0" shrinkToFit="0" readingOrder="0"/>
    </dxf>
    <dxf>
      <fill>
        <patternFill patternType="solid">
          <fgColor theme="4" tint="0.79998168889431442"/>
          <bgColor rgb="FFFF0000"/>
        </patternFill>
      </fill>
      <alignment horizontal="right" vertical="center" textRotation="0" wrapText="0" indent="0" justifyLastLine="0" shrinkToFit="0" readingOrder="0"/>
      <border diagonalUp="0" diagonalDown="0" outline="0">
        <left style="thin">
          <color indexed="64"/>
        </left>
        <right/>
        <top style="thin">
          <color indexed="64"/>
        </top>
        <bottom/>
      </border>
    </dxf>
    <dxf>
      <fill>
        <patternFill patternType="solid">
          <fgColor theme="4" tint="0.79998168889431442"/>
          <bgColor theme="4" tint="0.79998168889431442"/>
        </patternFill>
      </fill>
      <alignment horizontal="right" vertical="center" textRotation="0" wrapText="0" indent="0" justifyLastLine="0" shrinkToFit="0" readingOrder="0"/>
      <border diagonalUp="0" diagonalDown="0">
        <left style="thin">
          <color indexed="64"/>
        </left>
        <right/>
        <top style="thin">
          <color indexed="64"/>
        </top>
        <bottom/>
        <vertical/>
        <horizontal/>
      </border>
    </dxf>
    <dxf>
      <fill>
        <patternFill patternType="solid">
          <fgColor theme="4" tint="0.79998168889431442"/>
          <bgColor rgb="FFFF0000"/>
        </patternFill>
      </fill>
      <alignment horizontal="right" vertical="center" textRotation="0" wrapText="0" indent="0" justifyLastLine="0" shrinkToFit="0" readingOrder="0"/>
      <border diagonalUp="0" diagonalDown="0" outline="0">
        <left style="thin">
          <color indexed="64"/>
        </left>
        <right/>
        <top style="thin">
          <color indexed="64"/>
        </top>
        <bottom/>
      </border>
    </dxf>
    <dxf>
      <fill>
        <patternFill patternType="solid">
          <fgColor theme="4" tint="0.79998168889431442"/>
          <bgColor theme="4" tint="0.79998168889431442"/>
        </patternFill>
      </fill>
      <alignment horizontal="right" vertical="center" textRotation="0" wrapText="0" indent="0" justifyLastLine="0" shrinkToFit="0" readingOrder="0"/>
      <border diagonalUp="0" diagonalDown="0">
        <left style="thin">
          <color indexed="64"/>
        </left>
        <right/>
        <top style="thin">
          <color indexed="64"/>
        </top>
        <bottom/>
        <vertical/>
        <horizontal/>
      </border>
    </dxf>
    <dxf>
      <fill>
        <patternFill patternType="solid">
          <fgColor theme="4" tint="0.79998168889431442"/>
          <bgColor rgb="FFFF0000"/>
        </patternFill>
      </fill>
      <alignment horizontal="right" vertical="center" textRotation="0" wrapText="0" indent="0" justifyLastLine="0" shrinkToFit="0" readingOrder="0"/>
      <border diagonalUp="0" diagonalDown="0" outline="0">
        <left style="thin">
          <color indexed="64"/>
        </left>
        <right/>
        <top style="thin">
          <color indexed="64"/>
        </top>
        <bottom/>
      </border>
    </dxf>
    <dxf>
      <fill>
        <patternFill patternType="solid">
          <fgColor theme="4" tint="0.79998168889431442"/>
          <bgColor theme="4" tint="0.79998168889431442"/>
        </patternFill>
      </fill>
      <alignment horizontal="right" vertical="center" textRotation="0" wrapText="0" indent="0" justifyLastLine="0" shrinkToFit="0" readingOrder="0"/>
      <border diagonalUp="0" diagonalDown="0">
        <left style="thin">
          <color indexed="64"/>
        </left>
        <right/>
        <top style="thin">
          <color indexed="64"/>
        </top>
        <bottom/>
        <vertical/>
        <horizontal/>
      </border>
    </dxf>
    <dxf>
      <fill>
        <patternFill patternType="solid">
          <fgColor theme="4" tint="0.79998168889431442"/>
          <bgColor rgb="FFFF0000"/>
        </patternFill>
      </fill>
      <alignment horizontal="right" vertical="center" textRotation="0" wrapText="0" indent="0" justifyLastLine="0" shrinkToFit="0" readingOrder="0"/>
      <border diagonalUp="0" diagonalDown="0" outline="0">
        <left style="thin">
          <color indexed="64"/>
        </left>
        <right/>
        <top style="thin">
          <color indexed="64"/>
        </top>
        <bottom/>
      </border>
    </dxf>
    <dxf>
      <fill>
        <patternFill patternType="solid">
          <fgColor theme="4" tint="0.79998168889431442"/>
          <bgColor theme="4" tint="0.79998168889431442"/>
        </patternFill>
      </fill>
      <alignment horizontal="right" vertical="center" textRotation="0" wrapText="0" indent="0" justifyLastLine="0" shrinkToFit="0" readingOrder="0"/>
      <border diagonalUp="0" diagonalDown="0">
        <left style="thin">
          <color indexed="64"/>
        </left>
        <right/>
        <top style="thin">
          <color indexed="64"/>
        </top>
        <bottom/>
        <vertical/>
        <horizontal/>
      </border>
    </dxf>
    <dxf>
      <fill>
        <patternFill patternType="solid">
          <fgColor theme="4" tint="0.79998168889431442"/>
          <bgColor rgb="FFFF0000"/>
        </patternFill>
      </fill>
      <alignment horizontal="left" vertical="center" textRotation="0" wrapText="0" indent="1" justifyLastLine="0" shrinkToFit="0" readingOrder="0"/>
      <border diagonalUp="0" diagonalDown="0" outline="0">
        <left/>
        <right/>
        <top style="thin">
          <color indexed="64"/>
        </top>
        <bottom/>
      </border>
    </dxf>
    <dxf>
      <fill>
        <patternFill patternType="solid">
          <fgColor theme="4" tint="0.79998168889431442"/>
          <bgColor theme="4" tint="0.79998168889431442"/>
        </patternFill>
      </fill>
      <alignment horizontal="left" vertical="center" textRotation="0" wrapText="0" indent="1" justifyLastLine="0" shrinkToFit="0" readingOrder="0"/>
      <border diagonalUp="0" diagonalDown="0">
        <left/>
        <right/>
        <top style="thin">
          <color indexed="64"/>
        </top>
        <bottom/>
        <vertical/>
        <horizontal/>
      </border>
    </dxf>
    <dxf>
      <border outline="0">
        <left style="thin">
          <color indexed="64"/>
        </left>
      </border>
    </dxf>
    <dxf>
      <fill>
        <patternFill>
          <bgColor theme="4" tint="-0.249977111117893"/>
        </patternFill>
      </fill>
    </dxf>
    <dxf>
      <fill>
        <patternFill>
          <bgColor auto="1"/>
        </patternFill>
      </fill>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6"/>
      </font>
    </dxf>
    <dxf>
      <font>
        <sz val="16"/>
      </font>
    </dxf>
    <dxf>
      <font>
        <sz val="16"/>
      </font>
    </dxf>
    <dxf>
      <font>
        <sz val="16"/>
      </font>
    </dxf>
    <dxf>
      <font>
        <sz val="16"/>
      </font>
    </dxf>
    <dxf>
      <font>
        <sz val="16"/>
      </font>
    </dxf>
    <dxf>
      <font>
        <sz val="16"/>
      </font>
    </dxf>
    <dxf>
      <font>
        <sz val="16"/>
      </font>
    </dxf>
    <dxf>
      <font>
        <sz val="16"/>
      </font>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 Cases Dataset.xlsx]Covid-19 Dashboard!PivotTable1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alpha val="98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alpha val="98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alpha val="98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4.7623931338236371E-2"/>
                  <c:h val="3.4710764533037473E-2"/>
                </c:manualLayout>
              </c15:layout>
            </c:ext>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s>
    <c:plotArea>
      <c:layout>
        <c:manualLayout>
          <c:layoutTarget val="inner"/>
          <c:xMode val="edge"/>
          <c:yMode val="edge"/>
          <c:x val="0.16664020414380318"/>
          <c:y val="8.0454357317230302E-2"/>
          <c:w val="0.79870984438770409"/>
          <c:h val="0.79796857308678604"/>
        </c:manualLayout>
      </c:layout>
      <c:barChart>
        <c:barDir val="bar"/>
        <c:grouping val="clustered"/>
        <c:varyColors val="0"/>
        <c:ser>
          <c:idx val="0"/>
          <c:order val="0"/>
          <c:tx>
            <c:strRef>
              <c:f>'Covid-19 Dashboard'!$B$8</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158B-48A5-A606-E2D2A2375BC2}"/>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158B-48A5-A606-E2D2A2375BC2}"/>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158B-48A5-A606-E2D2A2375BC2}"/>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7-158B-48A5-A606-E2D2A2375BC2}"/>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9-158B-48A5-A606-E2D2A2375BC2}"/>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B-158B-48A5-A606-E2D2A2375BC2}"/>
              </c:ext>
            </c:extLst>
          </c:dPt>
          <c:dLbls>
            <c:dLbl>
              <c:idx val="5"/>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alpha val="98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4.7623931338236371E-2"/>
                      <c:h val="3.4710764533037473E-2"/>
                    </c:manualLayout>
                  </c15:layout>
                </c:ext>
                <c:ext xmlns:c16="http://schemas.microsoft.com/office/drawing/2014/chart" uri="{C3380CC4-5D6E-409C-BE32-E72D297353CC}">
                  <c16:uniqueId val="{0000000B-158B-48A5-A606-E2D2A2375BC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alpha val="98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'Covid-19 Dashboard'!$A$9:$A$15</c:f>
              <c:strCache>
                <c:ptCount val="6"/>
                <c:pt idx="0">
                  <c:v>Asia</c:v>
                </c:pt>
                <c:pt idx="1">
                  <c:v>Europe</c:v>
                </c:pt>
                <c:pt idx="2">
                  <c:v>North America</c:v>
                </c:pt>
                <c:pt idx="3">
                  <c:v>Australia/Oceania</c:v>
                </c:pt>
                <c:pt idx="4">
                  <c:v>South America</c:v>
                </c:pt>
                <c:pt idx="5">
                  <c:v>Africa</c:v>
                </c:pt>
              </c:strCache>
            </c:strRef>
          </c:cat>
          <c:val>
            <c:numRef>
              <c:f>'Covid-19 Dashboard'!$B$9:$B$15</c:f>
              <c:numCache>
                <c:formatCode>0.00%</c:formatCode>
                <c:ptCount val="6"/>
                <c:pt idx="0">
                  <c:v>0.72304524050592744</c:v>
                </c:pt>
                <c:pt idx="1">
                  <c:v>0.67558647969861008</c:v>
                </c:pt>
                <c:pt idx="2">
                  <c:v>0.6507568698684647</c:v>
                </c:pt>
                <c:pt idx="3">
                  <c:v>0.60622789947817179</c:v>
                </c:pt>
                <c:pt idx="4">
                  <c:v>0.599354487411487</c:v>
                </c:pt>
                <c:pt idx="5">
                  <c:v>0.57312533129432541</c:v>
                </c:pt>
              </c:numCache>
            </c:numRef>
          </c:val>
          <c:extLst>
            <c:ext xmlns:c16="http://schemas.microsoft.com/office/drawing/2014/chart" uri="{C3380CC4-5D6E-409C-BE32-E72D297353CC}">
              <c16:uniqueId val="{00000000-4654-48BD-B824-9D4EE181E6C0}"/>
            </c:ext>
          </c:extLst>
        </c:ser>
        <c:dLbls>
          <c:dLblPos val="outEnd"/>
          <c:showLegendKey val="0"/>
          <c:showVal val="1"/>
          <c:showCatName val="0"/>
          <c:showSerName val="0"/>
          <c:showPercent val="0"/>
          <c:showBubbleSize val="0"/>
        </c:dLbls>
        <c:gapWidth val="100"/>
        <c:axId val="400199072"/>
        <c:axId val="400193792"/>
      </c:barChart>
      <c:valAx>
        <c:axId val="400193792"/>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alpha val="98000"/>
                  </a:schemeClr>
                </a:solidFill>
                <a:latin typeface="+mn-lt"/>
                <a:ea typeface="+mn-ea"/>
                <a:cs typeface="+mn-cs"/>
              </a:defRPr>
            </a:pPr>
            <a:endParaRPr lang="en-US"/>
          </a:p>
        </c:txPr>
        <c:crossAx val="400199072"/>
        <c:crosses val="autoZero"/>
        <c:crossBetween val="between"/>
      </c:valAx>
      <c:catAx>
        <c:axId val="4001990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alpha val="98000"/>
                  </a:schemeClr>
                </a:solidFill>
                <a:latin typeface="+mn-lt"/>
                <a:ea typeface="+mn-ea"/>
                <a:cs typeface="+mn-cs"/>
              </a:defRPr>
            </a:pPr>
            <a:endParaRPr lang="en-US"/>
          </a:p>
        </c:txPr>
        <c:crossAx val="40019379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gradFill>
    <a:ln w="9525" cap="flat" cmpd="sng" algn="ctr">
      <a:solidFill>
        <a:schemeClr val="tx1">
          <a:lumMod val="15000"/>
          <a:lumOff val="85000"/>
        </a:schemeClr>
      </a:solidFill>
      <a:round/>
    </a:ln>
    <a:effectLst/>
  </c:spPr>
  <c:txPr>
    <a:bodyPr/>
    <a:lstStyle/>
    <a:p>
      <a:pPr>
        <a:defRPr>
          <a:solidFill>
            <a:schemeClr val="tx1">
              <a:alpha val="98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 Cases Dataset.xlsx]Covid-19 Dashboard!PivotTable2</c:name>
    <c:fmtId val="0"/>
  </c:pivotSource>
  <c:chart>
    <c:title>
      <c:layout>
        <c:manualLayout>
          <c:xMode val="edge"/>
          <c:yMode val="edge"/>
          <c:x val="0.48004899387576555"/>
          <c:y val="5.4016303552487627E-2"/>
        </c:manualLayout>
      </c:layout>
      <c:overlay val="0"/>
      <c:spPr>
        <a:noFill/>
        <a:ln>
          <a:noFill/>
        </a:ln>
        <a:effectLst/>
      </c:spPr>
      <c:txPr>
        <a:bodyPr rot="0" spcFirstLastPara="1" vertOverflow="ellipsis" vert="horz" wrap="square" anchor="ctr" anchorCtr="1"/>
        <a:lstStyle/>
        <a:p>
          <a:pPr>
            <a:defRPr sz="1800" b="1" i="0" u="none" strike="noStrike" kern="1200" spc="0" baseline="0">
              <a:ln>
                <a:noFill/>
              </a:ln>
              <a:solidFill>
                <a:schemeClr val="tx1"/>
              </a:solidFill>
              <a:effectLst>
                <a:reflection endPos="0" dist="50800" dir="5400000" sy="-100000" algn="bl" rotWithShape="0"/>
              </a:effectLst>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ln>
                    <a:noFill/>
                  </a:ln>
                  <a:solidFill>
                    <a:schemeClr val="tx1"/>
                  </a:solidFill>
                  <a:effectLst>
                    <a:reflection endPos="0" dist="50800" dir="5400000" sy="-100000" algn="bl" rotWithShape="0"/>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31750">
            <a:solidFill>
              <a:schemeClr val="lt1">
                <a:alpha val="97000"/>
              </a:schemeClr>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5.6909236434152785E-2"/>
          <c:y val="0.18494312630006723"/>
          <c:w val="0.89650580359042986"/>
          <c:h val="0.65269584949991932"/>
        </c:manualLayout>
      </c:layout>
      <c:barChart>
        <c:barDir val="col"/>
        <c:grouping val="clustered"/>
        <c:varyColors val="0"/>
        <c:ser>
          <c:idx val="0"/>
          <c:order val="0"/>
          <c:tx>
            <c:strRef>
              <c:f>'Covid-19 Dashboard'!$B$17</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31750">
                <a:solidFill>
                  <a:schemeClr val="lt1">
                    <a:alpha val="97000"/>
                  </a:schemeClr>
                </a:solidFill>
              </a:ln>
              <a:effectLst/>
            </c:spPr>
            <c:extLst>
              <c:ext xmlns:c16="http://schemas.microsoft.com/office/drawing/2014/chart" uri="{C3380CC4-5D6E-409C-BE32-E72D297353CC}">
                <c16:uniqueId val="{00000001-9262-4727-B27F-B36D59D83A90}"/>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9262-4727-B27F-B36D59D83A90}"/>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9262-4727-B27F-B36D59D83A90}"/>
              </c:ext>
            </c:extLst>
          </c:dPt>
          <c:cat>
            <c:strRef>
              <c:f>'Covid-19 Dashboard'!$A$18:$A$21</c:f>
              <c:strCache>
                <c:ptCount val="3"/>
                <c:pt idx="0">
                  <c:v>High Risk</c:v>
                </c:pt>
                <c:pt idx="1">
                  <c:v>Low Risk</c:v>
                </c:pt>
                <c:pt idx="2">
                  <c:v>Moderate Risk</c:v>
                </c:pt>
              </c:strCache>
            </c:strRef>
          </c:cat>
          <c:val>
            <c:numRef>
              <c:f>'Covid-19 Dashboard'!$B$18:$B$21</c:f>
              <c:numCache>
                <c:formatCode>General</c:formatCode>
                <c:ptCount val="3"/>
                <c:pt idx="0">
                  <c:v>29</c:v>
                </c:pt>
                <c:pt idx="1">
                  <c:v>88</c:v>
                </c:pt>
                <c:pt idx="2">
                  <c:v>70</c:v>
                </c:pt>
              </c:numCache>
            </c:numRef>
          </c:val>
          <c:extLst>
            <c:ext xmlns:c16="http://schemas.microsoft.com/office/drawing/2014/chart" uri="{C3380CC4-5D6E-409C-BE32-E72D297353CC}">
              <c16:uniqueId val="{00000000-2A3D-4DF8-B701-D94405654A80}"/>
            </c:ext>
          </c:extLst>
        </c:ser>
        <c:dLbls>
          <c:showLegendKey val="0"/>
          <c:showVal val="0"/>
          <c:showCatName val="0"/>
          <c:showSerName val="0"/>
          <c:showPercent val="0"/>
          <c:showBubbleSize val="0"/>
        </c:dLbls>
        <c:gapWidth val="100"/>
        <c:axId val="1566804384"/>
        <c:axId val="1566807264"/>
      </c:barChart>
      <c:catAx>
        <c:axId val="15668043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1" i="0" u="none" strike="noStrike" kern="1200" baseline="0">
                <a:ln>
                  <a:noFill/>
                </a:ln>
                <a:solidFill>
                  <a:schemeClr val="tx1"/>
                </a:solidFill>
                <a:effectLst>
                  <a:reflection endPos="0" dist="50800" dir="5400000" sy="-100000" algn="bl" rotWithShape="0"/>
                </a:effectLst>
                <a:latin typeface="+mn-lt"/>
                <a:ea typeface="+mn-ea"/>
                <a:cs typeface="+mn-cs"/>
              </a:defRPr>
            </a:pPr>
            <a:endParaRPr lang="en-US"/>
          </a:p>
        </c:txPr>
        <c:crossAx val="1566807264"/>
        <c:crosses val="autoZero"/>
        <c:auto val="1"/>
        <c:lblAlgn val="ctr"/>
        <c:lblOffset val="100"/>
        <c:noMultiLvlLbl val="0"/>
      </c:catAx>
      <c:valAx>
        <c:axId val="156680726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500" b="1" i="0" u="none" strike="noStrike" kern="1200" baseline="0">
                <a:ln>
                  <a:noFill/>
                </a:ln>
                <a:solidFill>
                  <a:schemeClr val="tx1"/>
                </a:solidFill>
                <a:effectLst>
                  <a:reflection endPos="0" dist="50800" dir="5400000" sy="-100000" algn="bl" rotWithShape="0"/>
                </a:effectLst>
                <a:latin typeface="+mn-lt"/>
                <a:ea typeface="+mn-ea"/>
                <a:cs typeface="+mn-cs"/>
              </a:defRPr>
            </a:pPr>
            <a:endParaRPr lang="en-US"/>
          </a:p>
        </c:txPr>
        <c:crossAx val="1566804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sz="1500" b="1" i="0" baseline="0">
          <a:ln>
            <a:noFill/>
          </a:ln>
          <a:solidFill>
            <a:schemeClr val="tx1"/>
          </a:solidFill>
          <a:effectLst>
            <a:reflection endPos="0" dist="50800" dir="5400000" sy="-100000" algn="bl" rotWithShape="0"/>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 Cases Dataset.xlsx]Covid-19 Dashboard!PivotTable3</c:name>
    <c:fmtId val="0"/>
  </c:pivotSource>
  <c:chart>
    <c:autoTitleDeleted val="0"/>
    <c:pivotFmts>
      <c:pivotFmt>
        <c:idx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alpha val="96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15875" cap="rnd">
            <a:solidFill>
              <a:schemeClr val="accent6"/>
            </a:solidFill>
            <a:round/>
          </a:ln>
          <a:effectLst/>
        </c:spPr>
        <c:marker>
          <c:symbol val="circle"/>
          <c:size val="5"/>
          <c:spPr>
            <a:solidFill>
              <a:schemeClr val="tx1"/>
            </a:solidFill>
            <a:ln w="9525" cap="flat" cmpd="sng" algn="ctr">
              <a:solidFill>
                <a:schemeClr val="accent5">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alpha val="96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187081787567855E-2"/>
          <c:y val="4.6071831276915748E-2"/>
          <c:w val="0.90481407880223663"/>
          <c:h val="0.79789900603607555"/>
        </c:manualLayout>
      </c:layout>
      <c:areaChart>
        <c:grouping val="stacked"/>
        <c:varyColors val="0"/>
        <c:ser>
          <c:idx val="0"/>
          <c:order val="0"/>
          <c:tx>
            <c:strRef>
              <c:f>'Covid-19 Dashboard'!$B$23</c:f>
              <c:strCache>
                <c:ptCount val="1"/>
                <c:pt idx="0">
                  <c:v>Total Population</c:v>
                </c:pt>
              </c:strCache>
            </c:strRef>
          </c:tx>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cat>
            <c:strRef>
              <c:f>'Covid-19 Dashboard'!$A$24:$A$211</c:f>
              <c:strCache>
                <c:ptCount val="187"/>
                <c:pt idx="0">
                  <c:v>Afghanistan</c:v>
                </c:pt>
                <c:pt idx="1">
                  <c:v>Albania</c:v>
                </c:pt>
                <c:pt idx="2">
                  <c:v>Algeria</c:v>
                </c:pt>
                <c:pt idx="3">
                  <c:v>Andorra</c:v>
                </c:pt>
                <c:pt idx="4">
                  <c:v>Angola</c:v>
                </c:pt>
                <c:pt idx="5">
                  <c:v>Antigua and Barbuda</c:v>
                </c:pt>
                <c:pt idx="6">
                  <c:v>Argentina</c:v>
                </c:pt>
                <c:pt idx="7">
                  <c:v>Armenia</c:v>
                </c:pt>
                <c:pt idx="8">
                  <c:v>Australia</c:v>
                </c:pt>
                <c:pt idx="9">
                  <c:v>Austria</c:v>
                </c:pt>
                <c:pt idx="10">
                  <c:v>Azerbaijan</c:v>
                </c:pt>
                <c:pt idx="11">
                  <c:v>Bahamas</c:v>
                </c:pt>
                <c:pt idx="12">
                  <c:v>Bahrain</c:v>
                </c:pt>
                <c:pt idx="13">
                  <c:v>Bangladesh</c:v>
                </c:pt>
                <c:pt idx="14">
                  <c:v>Barbados</c:v>
                </c:pt>
                <c:pt idx="15">
                  <c:v>Belarus</c:v>
                </c:pt>
                <c:pt idx="16">
                  <c:v>Belgium</c:v>
                </c:pt>
                <c:pt idx="17">
                  <c:v>Belize</c:v>
                </c:pt>
                <c:pt idx="18">
                  <c:v>Benin</c:v>
                </c:pt>
                <c:pt idx="19">
                  <c:v>Bhutan</c:v>
                </c:pt>
                <c:pt idx="20">
                  <c:v>Bolivia</c:v>
                </c:pt>
                <c:pt idx="21">
                  <c:v>Bosnia and Herzegovina</c:v>
                </c:pt>
                <c:pt idx="22">
                  <c:v>Botswana</c:v>
                </c:pt>
                <c:pt idx="23">
                  <c:v>Brazil</c:v>
                </c:pt>
                <c:pt idx="24">
                  <c:v>Brunei</c:v>
                </c:pt>
                <c:pt idx="25">
                  <c:v>Bulgaria</c:v>
                </c:pt>
                <c:pt idx="26">
                  <c:v>Burkina Faso</c:v>
                </c:pt>
                <c:pt idx="27">
                  <c:v>Burundi</c:v>
                </c:pt>
                <c:pt idx="28">
                  <c:v>Cabo Verde</c:v>
                </c:pt>
                <c:pt idx="29">
                  <c:v>Cambodia</c:v>
                </c:pt>
                <c:pt idx="30">
                  <c:v>Cameroon</c:v>
                </c:pt>
                <c:pt idx="31">
                  <c:v>Canada</c:v>
                </c:pt>
                <c:pt idx="32">
                  <c:v>Central African Republic</c:v>
                </c:pt>
                <c:pt idx="33">
                  <c:v>Chad</c:v>
                </c:pt>
                <c:pt idx="34">
                  <c:v>Chile</c:v>
                </c:pt>
                <c:pt idx="35">
                  <c:v>China</c:v>
                </c:pt>
                <c:pt idx="36">
                  <c:v>Colombia</c:v>
                </c:pt>
                <c:pt idx="37">
                  <c:v>Comoros</c:v>
                </c:pt>
                <c:pt idx="38">
                  <c:v>Congo (Brazzaville)</c:v>
                </c:pt>
                <c:pt idx="39">
                  <c:v>Congo (Kinshasa)</c:v>
                </c:pt>
                <c:pt idx="40">
                  <c:v>Costa Rica</c:v>
                </c:pt>
                <c:pt idx="41">
                  <c:v>Cote d'Ivoire</c:v>
                </c:pt>
                <c:pt idx="42">
                  <c:v>Croatia</c:v>
                </c:pt>
                <c:pt idx="43">
                  <c:v>Cuba</c:v>
                </c:pt>
                <c:pt idx="44">
                  <c:v>Cyprus</c:v>
                </c:pt>
                <c:pt idx="45">
                  <c:v>Czechia</c:v>
                </c:pt>
                <c:pt idx="46">
                  <c:v>Denmark</c:v>
                </c:pt>
                <c:pt idx="47">
                  <c:v>Djibouti</c:v>
                </c:pt>
                <c:pt idx="48">
                  <c:v>Dominica</c:v>
                </c:pt>
                <c:pt idx="49">
                  <c:v>Dominican Republic</c:v>
                </c:pt>
                <c:pt idx="50">
                  <c:v>Ecuador</c:v>
                </c:pt>
                <c:pt idx="51">
                  <c:v>Egypt</c:v>
                </c:pt>
                <c:pt idx="52">
                  <c:v>El Salvador</c:v>
                </c:pt>
                <c:pt idx="53">
                  <c:v>Equatorial Guinea</c:v>
                </c:pt>
                <c:pt idx="54">
                  <c:v>Eritrea</c:v>
                </c:pt>
                <c:pt idx="55">
                  <c:v>Estonia</c:v>
                </c:pt>
                <c:pt idx="56">
                  <c:v>Eswatini</c:v>
                </c:pt>
                <c:pt idx="57">
                  <c:v>Ethiopia</c:v>
                </c:pt>
                <c:pt idx="58">
                  <c:v>Fiji</c:v>
                </c:pt>
                <c:pt idx="59">
                  <c:v>Finland</c:v>
                </c:pt>
                <c:pt idx="60">
                  <c:v>France</c:v>
                </c:pt>
                <c:pt idx="61">
                  <c:v>Gabon</c:v>
                </c:pt>
                <c:pt idx="62">
                  <c:v>Gambia</c:v>
                </c:pt>
                <c:pt idx="63">
                  <c:v>Georgia</c:v>
                </c:pt>
                <c:pt idx="64">
                  <c:v>Germany</c:v>
                </c:pt>
                <c:pt idx="65">
                  <c:v>Ghana</c:v>
                </c:pt>
                <c:pt idx="66">
                  <c:v>Greece</c:v>
                </c:pt>
                <c:pt idx="67">
                  <c:v>Greenland</c:v>
                </c:pt>
                <c:pt idx="68">
                  <c:v>Grenada</c:v>
                </c:pt>
                <c:pt idx="69">
                  <c:v>Guatemala</c:v>
                </c:pt>
                <c:pt idx="70">
                  <c:v>Guinea</c:v>
                </c:pt>
                <c:pt idx="71">
                  <c:v>Guinea-Bissau</c:v>
                </c:pt>
                <c:pt idx="72">
                  <c:v>Guyana</c:v>
                </c:pt>
                <c:pt idx="73">
                  <c:v>Haiti</c:v>
                </c:pt>
                <c:pt idx="74">
                  <c:v>Holy See</c:v>
                </c:pt>
                <c:pt idx="75">
                  <c:v>Honduras</c:v>
                </c:pt>
                <c:pt idx="76">
                  <c:v>Hungary</c:v>
                </c:pt>
                <c:pt idx="77">
                  <c:v>Iceland</c:v>
                </c:pt>
                <c:pt idx="78">
                  <c:v>India</c:v>
                </c:pt>
                <c:pt idx="79">
                  <c:v>Indonesia</c:v>
                </c:pt>
                <c:pt idx="80">
                  <c:v>Iran</c:v>
                </c:pt>
                <c:pt idx="81">
                  <c:v>Iraq</c:v>
                </c:pt>
                <c:pt idx="82">
                  <c:v>Ireland</c:v>
                </c:pt>
                <c:pt idx="83">
                  <c:v>Israel</c:v>
                </c:pt>
                <c:pt idx="84">
                  <c:v>Italy</c:v>
                </c:pt>
                <c:pt idx="85">
                  <c:v>Jamaica</c:v>
                </c:pt>
                <c:pt idx="86">
                  <c:v>Japan</c:v>
                </c:pt>
                <c:pt idx="87">
                  <c:v>Jordan</c:v>
                </c:pt>
                <c:pt idx="88">
                  <c:v>Kazakhstan</c:v>
                </c:pt>
                <c:pt idx="89">
                  <c:v>Kenya</c:v>
                </c:pt>
                <c:pt idx="90">
                  <c:v>Kosovo</c:v>
                </c:pt>
                <c:pt idx="91">
                  <c:v>Kuwait</c:v>
                </c:pt>
                <c:pt idx="92">
                  <c:v>Kyrgyzstan</c:v>
                </c:pt>
                <c:pt idx="93">
                  <c:v>Laos</c:v>
                </c:pt>
                <c:pt idx="94">
                  <c:v>Latvia</c:v>
                </c:pt>
                <c:pt idx="95">
                  <c:v>Lebanon</c:v>
                </c:pt>
                <c:pt idx="96">
                  <c:v>Lesotho</c:v>
                </c:pt>
                <c:pt idx="97">
                  <c:v>Liberia</c:v>
                </c:pt>
                <c:pt idx="98">
                  <c:v>Libya</c:v>
                </c:pt>
                <c:pt idx="99">
                  <c:v>Liechtenstein</c:v>
                </c:pt>
                <c:pt idx="100">
                  <c:v>Lithuania</c:v>
                </c:pt>
                <c:pt idx="101">
                  <c:v>Luxembourg</c:v>
                </c:pt>
                <c:pt idx="102">
                  <c:v>Madagascar</c:v>
                </c:pt>
                <c:pt idx="103">
                  <c:v>Malawi</c:v>
                </c:pt>
                <c:pt idx="104">
                  <c:v>Malaysia</c:v>
                </c:pt>
                <c:pt idx="105">
                  <c:v>Maldives</c:v>
                </c:pt>
                <c:pt idx="106">
                  <c:v>Mali</c:v>
                </c:pt>
                <c:pt idx="107">
                  <c:v>Malta</c:v>
                </c:pt>
                <c:pt idx="108">
                  <c:v>Mauritania</c:v>
                </c:pt>
                <c:pt idx="109">
                  <c:v>Mauritius</c:v>
                </c:pt>
                <c:pt idx="110">
                  <c:v>Mexico</c:v>
                </c:pt>
                <c:pt idx="111">
                  <c:v>Moldova</c:v>
                </c:pt>
                <c:pt idx="112">
                  <c:v>Monaco</c:v>
                </c:pt>
                <c:pt idx="113">
                  <c:v>Mongolia</c:v>
                </c:pt>
                <c:pt idx="114">
                  <c:v>Montenegro</c:v>
                </c:pt>
                <c:pt idx="115">
                  <c:v>Morocco</c:v>
                </c:pt>
                <c:pt idx="116">
                  <c:v>Mozambique</c:v>
                </c:pt>
                <c:pt idx="117">
                  <c:v>Myanmar</c:v>
                </c:pt>
                <c:pt idx="118">
                  <c:v>Namibia</c:v>
                </c:pt>
                <c:pt idx="119">
                  <c:v>Nepal</c:v>
                </c:pt>
                <c:pt idx="120">
                  <c:v>Netherlands</c:v>
                </c:pt>
                <c:pt idx="121">
                  <c:v>New Zealand</c:v>
                </c:pt>
                <c:pt idx="122">
                  <c:v>Nicaragua</c:v>
                </c:pt>
                <c:pt idx="123">
                  <c:v>Niger</c:v>
                </c:pt>
                <c:pt idx="124">
                  <c:v>Nigeria</c:v>
                </c:pt>
                <c:pt idx="125">
                  <c:v>North Macedonia</c:v>
                </c:pt>
                <c:pt idx="126">
                  <c:v>Norway</c:v>
                </c:pt>
                <c:pt idx="127">
                  <c:v>Oman</c:v>
                </c:pt>
                <c:pt idx="128">
                  <c:v>Pakistan</c:v>
                </c:pt>
                <c:pt idx="129">
                  <c:v>Panama</c:v>
                </c:pt>
                <c:pt idx="130">
                  <c:v>Papua New Guinea</c:v>
                </c:pt>
                <c:pt idx="131">
                  <c:v>Paraguay</c:v>
                </c:pt>
                <c:pt idx="132">
                  <c:v>Peru</c:v>
                </c:pt>
                <c:pt idx="133">
                  <c:v>Philippines</c:v>
                </c:pt>
                <c:pt idx="134">
                  <c:v>Poland</c:v>
                </c:pt>
                <c:pt idx="135">
                  <c:v>Portugal</c:v>
                </c:pt>
                <c:pt idx="136">
                  <c:v>Qatar</c:v>
                </c:pt>
                <c:pt idx="137">
                  <c:v>Romania</c:v>
                </c:pt>
                <c:pt idx="138">
                  <c:v>Russia</c:v>
                </c:pt>
                <c:pt idx="139">
                  <c:v>Rwanda</c:v>
                </c:pt>
                <c:pt idx="140">
                  <c:v>Saint Kitts and Nevis</c:v>
                </c:pt>
                <c:pt idx="141">
                  <c:v>Saint Lucia</c:v>
                </c:pt>
                <c:pt idx="142">
                  <c:v>Saint Vincent and the Grenadines</c:v>
                </c:pt>
                <c:pt idx="143">
                  <c:v>San Marino</c:v>
                </c:pt>
                <c:pt idx="144">
                  <c:v>Sao Tome and Principe</c:v>
                </c:pt>
                <c:pt idx="145">
                  <c:v>Saudi Arabia</c:v>
                </c:pt>
                <c:pt idx="146">
                  <c:v>Senegal</c:v>
                </c:pt>
                <c:pt idx="147">
                  <c:v>Serbia</c:v>
                </c:pt>
                <c:pt idx="148">
                  <c:v>Seychelles</c:v>
                </c:pt>
                <c:pt idx="149">
                  <c:v>Sierra Leone</c:v>
                </c:pt>
                <c:pt idx="150">
                  <c:v>Singapore</c:v>
                </c:pt>
                <c:pt idx="151">
                  <c:v>Slovakia</c:v>
                </c:pt>
                <c:pt idx="152">
                  <c:v>Slovenia</c:v>
                </c:pt>
                <c:pt idx="153">
                  <c:v>Somalia</c:v>
                </c:pt>
                <c:pt idx="154">
                  <c:v>South Africa</c:v>
                </c:pt>
                <c:pt idx="155">
                  <c:v>South Korea</c:v>
                </c:pt>
                <c:pt idx="156">
                  <c:v>South Sudan</c:v>
                </c:pt>
                <c:pt idx="157">
                  <c:v>Spain</c:v>
                </c:pt>
                <c:pt idx="158">
                  <c:v>Sri Lanka</c:v>
                </c:pt>
                <c:pt idx="159">
                  <c:v>Sudan</c:v>
                </c:pt>
                <c:pt idx="160">
                  <c:v>Suriname</c:v>
                </c:pt>
                <c:pt idx="161">
                  <c:v>Sweden</c:v>
                </c:pt>
                <c:pt idx="162">
                  <c:v>Switzerland</c:v>
                </c:pt>
                <c:pt idx="163">
                  <c:v>Syria</c:v>
                </c:pt>
                <c:pt idx="164">
                  <c:v>Taiwan</c:v>
                </c:pt>
                <c:pt idx="165">
                  <c:v>Tajikistan</c:v>
                </c:pt>
                <c:pt idx="166">
                  <c:v>Tanzania</c:v>
                </c:pt>
                <c:pt idx="167">
                  <c:v>Thailand</c:v>
                </c:pt>
                <c:pt idx="168">
                  <c:v>Timor-Leste</c:v>
                </c:pt>
                <c:pt idx="169">
                  <c:v>Togo</c:v>
                </c:pt>
                <c:pt idx="170">
                  <c:v>Trinidad and Tobago</c:v>
                </c:pt>
                <c:pt idx="171">
                  <c:v>Tunisia</c:v>
                </c:pt>
                <c:pt idx="172">
                  <c:v>Turkey</c:v>
                </c:pt>
                <c:pt idx="173">
                  <c:v>Uganda</c:v>
                </c:pt>
                <c:pt idx="174">
                  <c:v>Ukraine</c:v>
                </c:pt>
                <c:pt idx="175">
                  <c:v>United Arab Emirates</c:v>
                </c:pt>
                <c:pt idx="176">
                  <c:v>United Kingdom</c:v>
                </c:pt>
                <c:pt idx="177">
                  <c:v>Uruguay</c:v>
                </c:pt>
                <c:pt idx="178">
                  <c:v>US</c:v>
                </c:pt>
                <c:pt idx="179">
                  <c:v>Uzbekistan</c:v>
                </c:pt>
                <c:pt idx="180">
                  <c:v>Venezuela</c:v>
                </c:pt>
                <c:pt idx="181">
                  <c:v>Vietnam</c:v>
                </c:pt>
                <c:pt idx="182">
                  <c:v>West Bank and Gaza</c:v>
                </c:pt>
                <c:pt idx="183">
                  <c:v>Western Sahara</c:v>
                </c:pt>
                <c:pt idx="184">
                  <c:v>Yemen</c:v>
                </c:pt>
                <c:pt idx="185">
                  <c:v>Zambia</c:v>
                </c:pt>
                <c:pt idx="186">
                  <c:v>Zimbabwe</c:v>
                </c:pt>
              </c:strCache>
            </c:strRef>
          </c:cat>
          <c:val>
            <c:numRef>
              <c:f>'Covid-19 Dashboard'!$B$24:$B$211</c:f>
              <c:numCache>
                <c:formatCode>General</c:formatCode>
                <c:ptCount val="187"/>
                <c:pt idx="0">
                  <c:v>39009447</c:v>
                </c:pt>
                <c:pt idx="1">
                  <c:v>2877470</c:v>
                </c:pt>
                <c:pt idx="2">
                  <c:v>43926079</c:v>
                </c:pt>
                <c:pt idx="3">
                  <c:v>77278</c:v>
                </c:pt>
                <c:pt idx="4">
                  <c:v>32956300</c:v>
                </c:pt>
                <c:pt idx="5">
                  <c:v>98010</c:v>
                </c:pt>
                <c:pt idx="6">
                  <c:v>45236884</c:v>
                </c:pt>
                <c:pt idx="7">
                  <c:v>2963811</c:v>
                </c:pt>
                <c:pt idx="8">
                  <c:v>25528864</c:v>
                </c:pt>
                <c:pt idx="9">
                  <c:v>9011577</c:v>
                </c:pt>
                <c:pt idx="10">
                  <c:v>10148243</c:v>
                </c:pt>
                <c:pt idx="11">
                  <c:v>393616</c:v>
                </c:pt>
                <c:pt idx="12">
                  <c:v>1706669</c:v>
                </c:pt>
                <c:pt idx="13">
                  <c:v>164851401</c:v>
                </c:pt>
                <c:pt idx="14">
                  <c:v>287411</c:v>
                </c:pt>
                <c:pt idx="15">
                  <c:v>9449001</c:v>
                </c:pt>
                <c:pt idx="16">
                  <c:v>11594739</c:v>
                </c:pt>
                <c:pt idx="17">
                  <c:v>398312</c:v>
                </c:pt>
                <c:pt idx="18">
                  <c:v>12151976</c:v>
                </c:pt>
                <c:pt idx="19">
                  <c:v>772443</c:v>
                </c:pt>
                <c:pt idx="20">
                  <c:v>11688459</c:v>
                </c:pt>
                <c:pt idx="21">
                  <c:v>3278650</c:v>
                </c:pt>
                <c:pt idx="22">
                  <c:v>2356075</c:v>
                </c:pt>
                <c:pt idx="23">
                  <c:v>212710692</c:v>
                </c:pt>
                <c:pt idx="24">
                  <c:v>437893</c:v>
                </c:pt>
                <c:pt idx="25">
                  <c:v>6942854</c:v>
                </c:pt>
                <c:pt idx="26">
                  <c:v>20954852</c:v>
                </c:pt>
                <c:pt idx="27">
                  <c:v>11922216</c:v>
                </c:pt>
                <c:pt idx="28">
                  <c:v>556581</c:v>
                </c:pt>
                <c:pt idx="29">
                  <c:v>16741375</c:v>
                </c:pt>
                <c:pt idx="30">
                  <c:v>26606188</c:v>
                </c:pt>
                <c:pt idx="31">
                  <c:v>37775022</c:v>
                </c:pt>
                <c:pt idx="32">
                  <c:v>4837752</c:v>
                </c:pt>
                <c:pt idx="33">
                  <c:v>0</c:v>
                </c:pt>
                <c:pt idx="34">
                  <c:v>19132514</c:v>
                </c:pt>
                <c:pt idx="35">
                  <c:v>1411778724</c:v>
                </c:pt>
                <c:pt idx="36">
                  <c:v>50936262</c:v>
                </c:pt>
                <c:pt idx="37">
                  <c:v>871326</c:v>
                </c:pt>
                <c:pt idx="38">
                  <c:v>5530506</c:v>
                </c:pt>
                <c:pt idx="39">
                  <c:v>96076573</c:v>
                </c:pt>
                <c:pt idx="40">
                  <c:v>5098730</c:v>
                </c:pt>
                <c:pt idx="41">
                  <c:v>26172000</c:v>
                </c:pt>
                <c:pt idx="42">
                  <c:v>4102577</c:v>
                </c:pt>
                <c:pt idx="43">
                  <c:v>11325899</c:v>
                </c:pt>
                <c:pt idx="44">
                  <c:v>1208238</c:v>
                </c:pt>
                <c:pt idx="45">
                  <c:v>10711019</c:v>
                </c:pt>
                <c:pt idx="46">
                  <c:v>5794279</c:v>
                </c:pt>
                <c:pt idx="47">
                  <c:v>989387</c:v>
                </c:pt>
                <c:pt idx="48">
                  <c:v>72004</c:v>
                </c:pt>
                <c:pt idx="49">
                  <c:v>10858648</c:v>
                </c:pt>
                <c:pt idx="50">
                  <c:v>17668824</c:v>
                </c:pt>
                <c:pt idx="51">
                  <c:v>102516525</c:v>
                </c:pt>
                <c:pt idx="52">
                  <c:v>6489514</c:v>
                </c:pt>
                <c:pt idx="53">
                  <c:v>1407001</c:v>
                </c:pt>
                <c:pt idx="54">
                  <c:v>3551175</c:v>
                </c:pt>
                <c:pt idx="55">
                  <c:v>1326627</c:v>
                </c:pt>
                <c:pt idx="56">
                  <c:v>1161348</c:v>
                </c:pt>
                <c:pt idx="57">
                  <c:v>115223736</c:v>
                </c:pt>
                <c:pt idx="58">
                  <c:v>897095</c:v>
                </c:pt>
                <c:pt idx="59">
                  <c:v>5541604</c:v>
                </c:pt>
                <c:pt idx="60">
                  <c:v>65288306</c:v>
                </c:pt>
                <c:pt idx="61">
                  <c:v>2230563</c:v>
                </c:pt>
                <c:pt idx="62">
                  <c:v>2422754</c:v>
                </c:pt>
                <c:pt idx="63">
                  <c:v>3988368</c:v>
                </c:pt>
                <c:pt idx="64">
                  <c:v>83811260</c:v>
                </c:pt>
                <c:pt idx="65">
                  <c:v>31133483</c:v>
                </c:pt>
                <c:pt idx="66">
                  <c:v>10417673</c:v>
                </c:pt>
                <c:pt idx="67">
                  <c:v>56780</c:v>
                </c:pt>
                <c:pt idx="68">
                  <c:v>112576</c:v>
                </c:pt>
                <c:pt idx="69">
                  <c:v>17946899</c:v>
                </c:pt>
                <c:pt idx="70">
                  <c:v>13164905</c:v>
                </c:pt>
                <c:pt idx="71">
                  <c:v>1972277</c:v>
                </c:pt>
                <c:pt idx="72">
                  <c:v>786936</c:v>
                </c:pt>
                <c:pt idx="73">
                  <c:v>11416103</c:v>
                </c:pt>
                <c:pt idx="74">
                  <c:v>528</c:v>
                </c:pt>
                <c:pt idx="75">
                  <c:v>10012084</c:v>
                </c:pt>
                <c:pt idx="76">
                  <c:v>9657785</c:v>
                </c:pt>
                <c:pt idx="77">
                  <c:v>341465</c:v>
                </c:pt>
                <c:pt idx="78">
                  <c:v>1381344997</c:v>
                </c:pt>
                <c:pt idx="79">
                  <c:v>273808365</c:v>
                </c:pt>
                <c:pt idx="80">
                  <c:v>84097623</c:v>
                </c:pt>
                <c:pt idx="81">
                  <c:v>40306025</c:v>
                </c:pt>
                <c:pt idx="82">
                  <c:v>4943200</c:v>
                </c:pt>
                <c:pt idx="83">
                  <c:v>9197590</c:v>
                </c:pt>
                <c:pt idx="84">
                  <c:v>60452568</c:v>
                </c:pt>
                <c:pt idx="85">
                  <c:v>2962478</c:v>
                </c:pt>
                <c:pt idx="86">
                  <c:v>126435859</c:v>
                </c:pt>
                <c:pt idx="87">
                  <c:v>10213138</c:v>
                </c:pt>
                <c:pt idx="88">
                  <c:v>18798667</c:v>
                </c:pt>
                <c:pt idx="89">
                  <c:v>53881160</c:v>
                </c:pt>
                <c:pt idx="90">
                  <c:v>1790152</c:v>
                </c:pt>
                <c:pt idx="91">
                  <c:v>4276658</c:v>
                </c:pt>
                <c:pt idx="92">
                  <c:v>6534479</c:v>
                </c:pt>
                <c:pt idx="93">
                  <c:v>7285750</c:v>
                </c:pt>
                <c:pt idx="94">
                  <c:v>1883936</c:v>
                </c:pt>
                <c:pt idx="95">
                  <c:v>6822220</c:v>
                </c:pt>
                <c:pt idx="96">
                  <c:v>2143943</c:v>
                </c:pt>
                <c:pt idx="97">
                  <c:v>5068618</c:v>
                </c:pt>
                <c:pt idx="98">
                  <c:v>6880353</c:v>
                </c:pt>
                <c:pt idx="99">
                  <c:v>38139</c:v>
                </c:pt>
                <c:pt idx="100">
                  <c:v>2718121</c:v>
                </c:pt>
                <c:pt idx="101">
                  <c:v>626952</c:v>
                </c:pt>
                <c:pt idx="102">
                  <c:v>27755708</c:v>
                </c:pt>
                <c:pt idx="103">
                  <c:v>19174839</c:v>
                </c:pt>
                <c:pt idx="104">
                  <c:v>32406372</c:v>
                </c:pt>
                <c:pt idx="105">
                  <c:v>541448</c:v>
                </c:pt>
                <c:pt idx="106">
                  <c:v>20302901</c:v>
                </c:pt>
                <c:pt idx="107">
                  <c:v>441663</c:v>
                </c:pt>
                <c:pt idx="108">
                  <c:v>4660728</c:v>
                </c:pt>
                <c:pt idx="109">
                  <c:v>1271985</c:v>
                </c:pt>
                <c:pt idx="110">
                  <c:v>129066160</c:v>
                </c:pt>
                <c:pt idx="111">
                  <c:v>4032983</c:v>
                </c:pt>
                <c:pt idx="112">
                  <c:v>39270</c:v>
                </c:pt>
                <c:pt idx="113">
                  <c:v>3283344</c:v>
                </c:pt>
                <c:pt idx="114">
                  <c:v>628074</c:v>
                </c:pt>
                <c:pt idx="115">
                  <c:v>36953359</c:v>
                </c:pt>
                <c:pt idx="116">
                  <c:v>31333962</c:v>
                </c:pt>
                <c:pt idx="117">
                  <c:v>54446389</c:v>
                </c:pt>
                <c:pt idx="118">
                  <c:v>2545264</c:v>
                </c:pt>
                <c:pt idx="119">
                  <c:v>29186486</c:v>
                </c:pt>
                <c:pt idx="120">
                  <c:v>17138756</c:v>
                </c:pt>
                <c:pt idx="121">
                  <c:v>5002100</c:v>
                </c:pt>
                <c:pt idx="122">
                  <c:v>6632263</c:v>
                </c:pt>
                <c:pt idx="123">
                  <c:v>24281433</c:v>
                </c:pt>
                <c:pt idx="124">
                  <c:v>206606300</c:v>
                </c:pt>
                <c:pt idx="125">
                  <c:v>2083365</c:v>
                </c:pt>
                <c:pt idx="126">
                  <c:v>5425471</c:v>
                </c:pt>
                <c:pt idx="127">
                  <c:v>5118446</c:v>
                </c:pt>
                <c:pt idx="128">
                  <c:v>221295851</c:v>
                </c:pt>
                <c:pt idx="129">
                  <c:v>5112340</c:v>
                </c:pt>
                <c:pt idx="130">
                  <c:v>8963009</c:v>
                </c:pt>
                <c:pt idx="131">
                  <c:v>7141091</c:v>
                </c:pt>
                <c:pt idx="132">
                  <c:v>33016319</c:v>
                </c:pt>
                <c:pt idx="133">
                  <c:v>109722719</c:v>
                </c:pt>
                <c:pt idx="134">
                  <c:v>37842302</c:v>
                </c:pt>
                <c:pt idx="135">
                  <c:v>10193593</c:v>
                </c:pt>
                <c:pt idx="136">
                  <c:v>2807805</c:v>
                </c:pt>
                <c:pt idx="137">
                  <c:v>19224023</c:v>
                </c:pt>
                <c:pt idx="138">
                  <c:v>145940924</c:v>
                </c:pt>
                <c:pt idx="139">
                  <c:v>12981546</c:v>
                </c:pt>
                <c:pt idx="140">
                  <c:v>53237</c:v>
                </c:pt>
                <c:pt idx="141">
                  <c:v>183712</c:v>
                </c:pt>
                <c:pt idx="142">
                  <c:v>104000</c:v>
                </c:pt>
                <c:pt idx="143">
                  <c:v>33938</c:v>
                </c:pt>
                <c:pt idx="144">
                  <c:v>219544</c:v>
                </c:pt>
                <c:pt idx="145">
                  <c:v>34865919</c:v>
                </c:pt>
                <c:pt idx="146">
                  <c:v>16783877</c:v>
                </c:pt>
                <c:pt idx="147">
                  <c:v>8733665</c:v>
                </c:pt>
                <c:pt idx="148">
                  <c:v>98408</c:v>
                </c:pt>
                <c:pt idx="149">
                  <c:v>7992169</c:v>
                </c:pt>
                <c:pt idx="150">
                  <c:v>5854932</c:v>
                </c:pt>
                <c:pt idx="151">
                  <c:v>5459915</c:v>
                </c:pt>
                <c:pt idx="152">
                  <c:v>2078968</c:v>
                </c:pt>
                <c:pt idx="153">
                  <c:v>15933012</c:v>
                </c:pt>
                <c:pt idx="154">
                  <c:v>59381566</c:v>
                </c:pt>
                <c:pt idx="155">
                  <c:v>51273732</c:v>
                </c:pt>
                <c:pt idx="156">
                  <c:v>11206572</c:v>
                </c:pt>
                <c:pt idx="157">
                  <c:v>46756648</c:v>
                </c:pt>
                <c:pt idx="158">
                  <c:v>21422362</c:v>
                </c:pt>
                <c:pt idx="159">
                  <c:v>43943536</c:v>
                </c:pt>
                <c:pt idx="160">
                  <c:v>587154</c:v>
                </c:pt>
                <c:pt idx="161">
                  <c:v>10105596</c:v>
                </c:pt>
                <c:pt idx="162">
                  <c:v>8660952</c:v>
                </c:pt>
                <c:pt idx="163">
                  <c:v>17539600</c:v>
                </c:pt>
                <c:pt idx="164">
                  <c:v>23821199</c:v>
                </c:pt>
                <c:pt idx="165">
                  <c:v>9557468</c:v>
                </c:pt>
                <c:pt idx="166">
                  <c:v>59886383</c:v>
                </c:pt>
                <c:pt idx="167">
                  <c:v>69817894</c:v>
                </c:pt>
                <c:pt idx="168">
                  <c:v>1320812</c:v>
                </c:pt>
                <c:pt idx="169">
                  <c:v>8296582</c:v>
                </c:pt>
                <c:pt idx="170">
                  <c:v>1399950</c:v>
                </c:pt>
                <c:pt idx="171">
                  <c:v>11830801</c:v>
                </c:pt>
                <c:pt idx="172">
                  <c:v>84428331</c:v>
                </c:pt>
                <c:pt idx="173">
                  <c:v>45867852</c:v>
                </c:pt>
                <c:pt idx="174">
                  <c:v>43705858</c:v>
                </c:pt>
                <c:pt idx="175">
                  <c:v>9902079</c:v>
                </c:pt>
                <c:pt idx="176">
                  <c:v>67922029</c:v>
                </c:pt>
                <c:pt idx="177">
                  <c:v>3474956</c:v>
                </c:pt>
                <c:pt idx="178">
                  <c:v>331198130</c:v>
                </c:pt>
                <c:pt idx="179">
                  <c:v>33516027</c:v>
                </c:pt>
                <c:pt idx="180">
                  <c:v>28427499</c:v>
                </c:pt>
                <c:pt idx="181">
                  <c:v>97425470</c:v>
                </c:pt>
                <c:pt idx="182">
                  <c:v>4800000</c:v>
                </c:pt>
                <c:pt idx="183">
                  <c:v>598682</c:v>
                </c:pt>
                <c:pt idx="184">
                  <c:v>29886897</c:v>
                </c:pt>
                <c:pt idx="185">
                  <c:v>18430129</c:v>
                </c:pt>
                <c:pt idx="186">
                  <c:v>14883803</c:v>
                </c:pt>
              </c:numCache>
            </c:numRef>
          </c:val>
          <c:extLst>
            <c:ext xmlns:c16="http://schemas.microsoft.com/office/drawing/2014/chart" uri="{C3380CC4-5D6E-409C-BE32-E72D297353CC}">
              <c16:uniqueId val="{00000000-E8B9-40EE-A167-C5682DA3EABD}"/>
            </c:ext>
          </c:extLst>
        </c:ser>
        <c:dLbls>
          <c:showLegendKey val="0"/>
          <c:showVal val="0"/>
          <c:showCatName val="0"/>
          <c:showSerName val="0"/>
          <c:showPercent val="0"/>
          <c:showBubbleSize val="0"/>
        </c:dLbls>
        <c:axId val="390596240"/>
        <c:axId val="390595760"/>
      </c:areaChart>
      <c:lineChart>
        <c:grouping val="standard"/>
        <c:varyColors val="0"/>
        <c:ser>
          <c:idx val="1"/>
          <c:order val="1"/>
          <c:tx>
            <c:strRef>
              <c:f>'Covid-19 Dashboard'!$C$23</c:f>
              <c:strCache>
                <c:ptCount val="1"/>
                <c:pt idx="0">
                  <c:v>Total Confirmed Cases</c:v>
                </c:pt>
              </c:strCache>
            </c:strRef>
          </c:tx>
          <c:spPr>
            <a:ln w="15875" cap="rnd">
              <a:solidFill>
                <a:schemeClr val="accent5"/>
              </a:solidFill>
              <a:round/>
            </a:ln>
            <a:effectLst/>
          </c:spPr>
          <c:marker>
            <c:symbol val="circle"/>
            <c:size val="5"/>
            <c:spPr>
              <a:solidFill>
                <a:schemeClr val="tx1"/>
              </a:solidFill>
              <a:ln w="9525" cap="flat" cmpd="sng" algn="ctr">
                <a:solidFill>
                  <a:schemeClr val="accent5">
                    <a:shade val="95000"/>
                  </a:schemeClr>
                </a:solidFill>
                <a:round/>
              </a:ln>
              <a:effectLst/>
            </c:spPr>
          </c:marker>
          <c:cat>
            <c:strRef>
              <c:f>'Covid-19 Dashboard'!$A$24:$A$211</c:f>
              <c:strCache>
                <c:ptCount val="187"/>
                <c:pt idx="0">
                  <c:v>Afghanistan</c:v>
                </c:pt>
                <c:pt idx="1">
                  <c:v>Albania</c:v>
                </c:pt>
                <c:pt idx="2">
                  <c:v>Algeria</c:v>
                </c:pt>
                <c:pt idx="3">
                  <c:v>Andorra</c:v>
                </c:pt>
                <c:pt idx="4">
                  <c:v>Angola</c:v>
                </c:pt>
                <c:pt idx="5">
                  <c:v>Antigua and Barbuda</c:v>
                </c:pt>
                <c:pt idx="6">
                  <c:v>Argentina</c:v>
                </c:pt>
                <c:pt idx="7">
                  <c:v>Armenia</c:v>
                </c:pt>
                <c:pt idx="8">
                  <c:v>Australia</c:v>
                </c:pt>
                <c:pt idx="9">
                  <c:v>Austria</c:v>
                </c:pt>
                <c:pt idx="10">
                  <c:v>Azerbaijan</c:v>
                </c:pt>
                <c:pt idx="11">
                  <c:v>Bahamas</c:v>
                </c:pt>
                <c:pt idx="12">
                  <c:v>Bahrain</c:v>
                </c:pt>
                <c:pt idx="13">
                  <c:v>Bangladesh</c:v>
                </c:pt>
                <c:pt idx="14">
                  <c:v>Barbados</c:v>
                </c:pt>
                <c:pt idx="15">
                  <c:v>Belarus</c:v>
                </c:pt>
                <c:pt idx="16">
                  <c:v>Belgium</c:v>
                </c:pt>
                <c:pt idx="17">
                  <c:v>Belize</c:v>
                </c:pt>
                <c:pt idx="18">
                  <c:v>Benin</c:v>
                </c:pt>
                <c:pt idx="19">
                  <c:v>Bhutan</c:v>
                </c:pt>
                <c:pt idx="20">
                  <c:v>Bolivia</c:v>
                </c:pt>
                <c:pt idx="21">
                  <c:v>Bosnia and Herzegovina</c:v>
                </c:pt>
                <c:pt idx="22">
                  <c:v>Botswana</c:v>
                </c:pt>
                <c:pt idx="23">
                  <c:v>Brazil</c:v>
                </c:pt>
                <c:pt idx="24">
                  <c:v>Brunei</c:v>
                </c:pt>
                <c:pt idx="25">
                  <c:v>Bulgaria</c:v>
                </c:pt>
                <c:pt idx="26">
                  <c:v>Burkina Faso</c:v>
                </c:pt>
                <c:pt idx="27">
                  <c:v>Burundi</c:v>
                </c:pt>
                <c:pt idx="28">
                  <c:v>Cabo Verde</c:v>
                </c:pt>
                <c:pt idx="29">
                  <c:v>Cambodia</c:v>
                </c:pt>
                <c:pt idx="30">
                  <c:v>Cameroon</c:v>
                </c:pt>
                <c:pt idx="31">
                  <c:v>Canada</c:v>
                </c:pt>
                <c:pt idx="32">
                  <c:v>Central African Republic</c:v>
                </c:pt>
                <c:pt idx="33">
                  <c:v>Chad</c:v>
                </c:pt>
                <c:pt idx="34">
                  <c:v>Chile</c:v>
                </c:pt>
                <c:pt idx="35">
                  <c:v>China</c:v>
                </c:pt>
                <c:pt idx="36">
                  <c:v>Colombia</c:v>
                </c:pt>
                <c:pt idx="37">
                  <c:v>Comoros</c:v>
                </c:pt>
                <c:pt idx="38">
                  <c:v>Congo (Brazzaville)</c:v>
                </c:pt>
                <c:pt idx="39">
                  <c:v>Congo (Kinshasa)</c:v>
                </c:pt>
                <c:pt idx="40">
                  <c:v>Costa Rica</c:v>
                </c:pt>
                <c:pt idx="41">
                  <c:v>Cote d'Ivoire</c:v>
                </c:pt>
                <c:pt idx="42">
                  <c:v>Croatia</c:v>
                </c:pt>
                <c:pt idx="43">
                  <c:v>Cuba</c:v>
                </c:pt>
                <c:pt idx="44">
                  <c:v>Cyprus</c:v>
                </c:pt>
                <c:pt idx="45">
                  <c:v>Czechia</c:v>
                </c:pt>
                <c:pt idx="46">
                  <c:v>Denmark</c:v>
                </c:pt>
                <c:pt idx="47">
                  <c:v>Djibouti</c:v>
                </c:pt>
                <c:pt idx="48">
                  <c:v>Dominica</c:v>
                </c:pt>
                <c:pt idx="49">
                  <c:v>Dominican Republic</c:v>
                </c:pt>
                <c:pt idx="50">
                  <c:v>Ecuador</c:v>
                </c:pt>
                <c:pt idx="51">
                  <c:v>Egypt</c:v>
                </c:pt>
                <c:pt idx="52">
                  <c:v>El Salvador</c:v>
                </c:pt>
                <c:pt idx="53">
                  <c:v>Equatorial Guinea</c:v>
                </c:pt>
                <c:pt idx="54">
                  <c:v>Eritrea</c:v>
                </c:pt>
                <c:pt idx="55">
                  <c:v>Estonia</c:v>
                </c:pt>
                <c:pt idx="56">
                  <c:v>Eswatini</c:v>
                </c:pt>
                <c:pt idx="57">
                  <c:v>Ethiopia</c:v>
                </c:pt>
                <c:pt idx="58">
                  <c:v>Fiji</c:v>
                </c:pt>
                <c:pt idx="59">
                  <c:v>Finland</c:v>
                </c:pt>
                <c:pt idx="60">
                  <c:v>France</c:v>
                </c:pt>
                <c:pt idx="61">
                  <c:v>Gabon</c:v>
                </c:pt>
                <c:pt idx="62">
                  <c:v>Gambia</c:v>
                </c:pt>
                <c:pt idx="63">
                  <c:v>Georgia</c:v>
                </c:pt>
                <c:pt idx="64">
                  <c:v>Germany</c:v>
                </c:pt>
                <c:pt idx="65">
                  <c:v>Ghana</c:v>
                </c:pt>
                <c:pt idx="66">
                  <c:v>Greece</c:v>
                </c:pt>
                <c:pt idx="67">
                  <c:v>Greenland</c:v>
                </c:pt>
                <c:pt idx="68">
                  <c:v>Grenada</c:v>
                </c:pt>
                <c:pt idx="69">
                  <c:v>Guatemala</c:v>
                </c:pt>
                <c:pt idx="70">
                  <c:v>Guinea</c:v>
                </c:pt>
                <c:pt idx="71">
                  <c:v>Guinea-Bissau</c:v>
                </c:pt>
                <c:pt idx="72">
                  <c:v>Guyana</c:v>
                </c:pt>
                <c:pt idx="73">
                  <c:v>Haiti</c:v>
                </c:pt>
                <c:pt idx="74">
                  <c:v>Holy See</c:v>
                </c:pt>
                <c:pt idx="75">
                  <c:v>Honduras</c:v>
                </c:pt>
                <c:pt idx="76">
                  <c:v>Hungary</c:v>
                </c:pt>
                <c:pt idx="77">
                  <c:v>Iceland</c:v>
                </c:pt>
                <c:pt idx="78">
                  <c:v>India</c:v>
                </c:pt>
                <c:pt idx="79">
                  <c:v>Indonesia</c:v>
                </c:pt>
                <c:pt idx="80">
                  <c:v>Iran</c:v>
                </c:pt>
                <c:pt idx="81">
                  <c:v>Iraq</c:v>
                </c:pt>
                <c:pt idx="82">
                  <c:v>Ireland</c:v>
                </c:pt>
                <c:pt idx="83">
                  <c:v>Israel</c:v>
                </c:pt>
                <c:pt idx="84">
                  <c:v>Italy</c:v>
                </c:pt>
                <c:pt idx="85">
                  <c:v>Jamaica</c:v>
                </c:pt>
                <c:pt idx="86">
                  <c:v>Japan</c:v>
                </c:pt>
                <c:pt idx="87">
                  <c:v>Jordan</c:v>
                </c:pt>
                <c:pt idx="88">
                  <c:v>Kazakhstan</c:v>
                </c:pt>
                <c:pt idx="89">
                  <c:v>Kenya</c:v>
                </c:pt>
                <c:pt idx="90">
                  <c:v>Kosovo</c:v>
                </c:pt>
                <c:pt idx="91">
                  <c:v>Kuwait</c:v>
                </c:pt>
                <c:pt idx="92">
                  <c:v>Kyrgyzstan</c:v>
                </c:pt>
                <c:pt idx="93">
                  <c:v>Laos</c:v>
                </c:pt>
                <c:pt idx="94">
                  <c:v>Latvia</c:v>
                </c:pt>
                <c:pt idx="95">
                  <c:v>Lebanon</c:v>
                </c:pt>
                <c:pt idx="96">
                  <c:v>Lesotho</c:v>
                </c:pt>
                <c:pt idx="97">
                  <c:v>Liberia</c:v>
                </c:pt>
                <c:pt idx="98">
                  <c:v>Libya</c:v>
                </c:pt>
                <c:pt idx="99">
                  <c:v>Liechtenstein</c:v>
                </c:pt>
                <c:pt idx="100">
                  <c:v>Lithuania</c:v>
                </c:pt>
                <c:pt idx="101">
                  <c:v>Luxembourg</c:v>
                </c:pt>
                <c:pt idx="102">
                  <c:v>Madagascar</c:v>
                </c:pt>
                <c:pt idx="103">
                  <c:v>Malawi</c:v>
                </c:pt>
                <c:pt idx="104">
                  <c:v>Malaysia</c:v>
                </c:pt>
                <c:pt idx="105">
                  <c:v>Maldives</c:v>
                </c:pt>
                <c:pt idx="106">
                  <c:v>Mali</c:v>
                </c:pt>
                <c:pt idx="107">
                  <c:v>Malta</c:v>
                </c:pt>
                <c:pt idx="108">
                  <c:v>Mauritania</c:v>
                </c:pt>
                <c:pt idx="109">
                  <c:v>Mauritius</c:v>
                </c:pt>
                <c:pt idx="110">
                  <c:v>Mexico</c:v>
                </c:pt>
                <c:pt idx="111">
                  <c:v>Moldova</c:v>
                </c:pt>
                <c:pt idx="112">
                  <c:v>Monaco</c:v>
                </c:pt>
                <c:pt idx="113">
                  <c:v>Mongolia</c:v>
                </c:pt>
                <c:pt idx="114">
                  <c:v>Montenegro</c:v>
                </c:pt>
                <c:pt idx="115">
                  <c:v>Morocco</c:v>
                </c:pt>
                <c:pt idx="116">
                  <c:v>Mozambique</c:v>
                </c:pt>
                <c:pt idx="117">
                  <c:v>Myanmar</c:v>
                </c:pt>
                <c:pt idx="118">
                  <c:v>Namibia</c:v>
                </c:pt>
                <c:pt idx="119">
                  <c:v>Nepal</c:v>
                </c:pt>
                <c:pt idx="120">
                  <c:v>Netherlands</c:v>
                </c:pt>
                <c:pt idx="121">
                  <c:v>New Zealand</c:v>
                </c:pt>
                <c:pt idx="122">
                  <c:v>Nicaragua</c:v>
                </c:pt>
                <c:pt idx="123">
                  <c:v>Niger</c:v>
                </c:pt>
                <c:pt idx="124">
                  <c:v>Nigeria</c:v>
                </c:pt>
                <c:pt idx="125">
                  <c:v>North Macedonia</c:v>
                </c:pt>
                <c:pt idx="126">
                  <c:v>Norway</c:v>
                </c:pt>
                <c:pt idx="127">
                  <c:v>Oman</c:v>
                </c:pt>
                <c:pt idx="128">
                  <c:v>Pakistan</c:v>
                </c:pt>
                <c:pt idx="129">
                  <c:v>Panama</c:v>
                </c:pt>
                <c:pt idx="130">
                  <c:v>Papua New Guinea</c:v>
                </c:pt>
                <c:pt idx="131">
                  <c:v>Paraguay</c:v>
                </c:pt>
                <c:pt idx="132">
                  <c:v>Peru</c:v>
                </c:pt>
                <c:pt idx="133">
                  <c:v>Philippines</c:v>
                </c:pt>
                <c:pt idx="134">
                  <c:v>Poland</c:v>
                </c:pt>
                <c:pt idx="135">
                  <c:v>Portugal</c:v>
                </c:pt>
                <c:pt idx="136">
                  <c:v>Qatar</c:v>
                </c:pt>
                <c:pt idx="137">
                  <c:v>Romania</c:v>
                </c:pt>
                <c:pt idx="138">
                  <c:v>Russia</c:v>
                </c:pt>
                <c:pt idx="139">
                  <c:v>Rwanda</c:v>
                </c:pt>
                <c:pt idx="140">
                  <c:v>Saint Kitts and Nevis</c:v>
                </c:pt>
                <c:pt idx="141">
                  <c:v>Saint Lucia</c:v>
                </c:pt>
                <c:pt idx="142">
                  <c:v>Saint Vincent and the Grenadines</c:v>
                </c:pt>
                <c:pt idx="143">
                  <c:v>San Marino</c:v>
                </c:pt>
                <c:pt idx="144">
                  <c:v>Sao Tome and Principe</c:v>
                </c:pt>
                <c:pt idx="145">
                  <c:v>Saudi Arabia</c:v>
                </c:pt>
                <c:pt idx="146">
                  <c:v>Senegal</c:v>
                </c:pt>
                <c:pt idx="147">
                  <c:v>Serbia</c:v>
                </c:pt>
                <c:pt idx="148">
                  <c:v>Seychelles</c:v>
                </c:pt>
                <c:pt idx="149">
                  <c:v>Sierra Leone</c:v>
                </c:pt>
                <c:pt idx="150">
                  <c:v>Singapore</c:v>
                </c:pt>
                <c:pt idx="151">
                  <c:v>Slovakia</c:v>
                </c:pt>
                <c:pt idx="152">
                  <c:v>Slovenia</c:v>
                </c:pt>
                <c:pt idx="153">
                  <c:v>Somalia</c:v>
                </c:pt>
                <c:pt idx="154">
                  <c:v>South Africa</c:v>
                </c:pt>
                <c:pt idx="155">
                  <c:v>South Korea</c:v>
                </c:pt>
                <c:pt idx="156">
                  <c:v>South Sudan</c:v>
                </c:pt>
                <c:pt idx="157">
                  <c:v>Spain</c:v>
                </c:pt>
                <c:pt idx="158">
                  <c:v>Sri Lanka</c:v>
                </c:pt>
                <c:pt idx="159">
                  <c:v>Sudan</c:v>
                </c:pt>
                <c:pt idx="160">
                  <c:v>Suriname</c:v>
                </c:pt>
                <c:pt idx="161">
                  <c:v>Sweden</c:v>
                </c:pt>
                <c:pt idx="162">
                  <c:v>Switzerland</c:v>
                </c:pt>
                <c:pt idx="163">
                  <c:v>Syria</c:v>
                </c:pt>
                <c:pt idx="164">
                  <c:v>Taiwan</c:v>
                </c:pt>
                <c:pt idx="165">
                  <c:v>Tajikistan</c:v>
                </c:pt>
                <c:pt idx="166">
                  <c:v>Tanzania</c:v>
                </c:pt>
                <c:pt idx="167">
                  <c:v>Thailand</c:v>
                </c:pt>
                <c:pt idx="168">
                  <c:v>Timor-Leste</c:v>
                </c:pt>
                <c:pt idx="169">
                  <c:v>Togo</c:v>
                </c:pt>
                <c:pt idx="170">
                  <c:v>Trinidad and Tobago</c:v>
                </c:pt>
                <c:pt idx="171">
                  <c:v>Tunisia</c:v>
                </c:pt>
                <c:pt idx="172">
                  <c:v>Turkey</c:v>
                </c:pt>
                <c:pt idx="173">
                  <c:v>Uganda</c:v>
                </c:pt>
                <c:pt idx="174">
                  <c:v>Ukraine</c:v>
                </c:pt>
                <c:pt idx="175">
                  <c:v>United Arab Emirates</c:v>
                </c:pt>
                <c:pt idx="176">
                  <c:v>United Kingdom</c:v>
                </c:pt>
                <c:pt idx="177">
                  <c:v>Uruguay</c:v>
                </c:pt>
                <c:pt idx="178">
                  <c:v>US</c:v>
                </c:pt>
                <c:pt idx="179">
                  <c:v>Uzbekistan</c:v>
                </c:pt>
                <c:pt idx="180">
                  <c:v>Venezuela</c:v>
                </c:pt>
                <c:pt idx="181">
                  <c:v>Vietnam</c:v>
                </c:pt>
                <c:pt idx="182">
                  <c:v>West Bank and Gaza</c:v>
                </c:pt>
                <c:pt idx="183">
                  <c:v>Western Sahara</c:v>
                </c:pt>
                <c:pt idx="184">
                  <c:v>Yemen</c:v>
                </c:pt>
                <c:pt idx="185">
                  <c:v>Zambia</c:v>
                </c:pt>
                <c:pt idx="186">
                  <c:v>Zimbabwe</c:v>
                </c:pt>
              </c:strCache>
            </c:strRef>
          </c:cat>
          <c:val>
            <c:numRef>
              <c:f>'Covid-19 Dashboard'!$C$24:$C$211</c:f>
              <c:numCache>
                <c:formatCode>General</c:formatCode>
                <c:ptCount val="187"/>
                <c:pt idx="0">
                  <c:v>36263</c:v>
                </c:pt>
                <c:pt idx="1">
                  <c:v>4880</c:v>
                </c:pt>
                <c:pt idx="2">
                  <c:v>27973</c:v>
                </c:pt>
                <c:pt idx="3">
                  <c:v>907</c:v>
                </c:pt>
                <c:pt idx="4">
                  <c:v>950</c:v>
                </c:pt>
                <c:pt idx="5">
                  <c:v>86</c:v>
                </c:pt>
                <c:pt idx="6">
                  <c:v>167416</c:v>
                </c:pt>
                <c:pt idx="7">
                  <c:v>37390</c:v>
                </c:pt>
                <c:pt idx="8">
                  <c:v>15303</c:v>
                </c:pt>
                <c:pt idx="9">
                  <c:v>20558</c:v>
                </c:pt>
                <c:pt idx="10">
                  <c:v>30446</c:v>
                </c:pt>
                <c:pt idx="11">
                  <c:v>382</c:v>
                </c:pt>
                <c:pt idx="12">
                  <c:v>39482</c:v>
                </c:pt>
                <c:pt idx="13">
                  <c:v>226225</c:v>
                </c:pt>
                <c:pt idx="14">
                  <c:v>110</c:v>
                </c:pt>
                <c:pt idx="15">
                  <c:v>67251</c:v>
                </c:pt>
                <c:pt idx="16">
                  <c:v>66428</c:v>
                </c:pt>
                <c:pt idx="17">
                  <c:v>48</c:v>
                </c:pt>
                <c:pt idx="18">
                  <c:v>1770</c:v>
                </c:pt>
                <c:pt idx="19">
                  <c:v>99</c:v>
                </c:pt>
                <c:pt idx="20">
                  <c:v>71181</c:v>
                </c:pt>
                <c:pt idx="21">
                  <c:v>10498</c:v>
                </c:pt>
                <c:pt idx="22">
                  <c:v>739</c:v>
                </c:pt>
                <c:pt idx="23">
                  <c:v>2442375</c:v>
                </c:pt>
                <c:pt idx="24">
                  <c:v>141</c:v>
                </c:pt>
                <c:pt idx="25">
                  <c:v>10621</c:v>
                </c:pt>
                <c:pt idx="26">
                  <c:v>1100</c:v>
                </c:pt>
                <c:pt idx="27">
                  <c:v>378</c:v>
                </c:pt>
                <c:pt idx="28">
                  <c:v>2328</c:v>
                </c:pt>
                <c:pt idx="29">
                  <c:v>226</c:v>
                </c:pt>
                <c:pt idx="30">
                  <c:v>17110</c:v>
                </c:pt>
                <c:pt idx="31">
                  <c:v>116458</c:v>
                </c:pt>
                <c:pt idx="32">
                  <c:v>4599</c:v>
                </c:pt>
                <c:pt idx="33">
                  <c:v>922</c:v>
                </c:pt>
                <c:pt idx="34">
                  <c:v>347923</c:v>
                </c:pt>
                <c:pt idx="35">
                  <c:v>86783</c:v>
                </c:pt>
                <c:pt idx="36">
                  <c:v>257101</c:v>
                </c:pt>
                <c:pt idx="37">
                  <c:v>354</c:v>
                </c:pt>
                <c:pt idx="38">
                  <c:v>3200</c:v>
                </c:pt>
                <c:pt idx="39">
                  <c:v>8844</c:v>
                </c:pt>
                <c:pt idx="40">
                  <c:v>15841</c:v>
                </c:pt>
                <c:pt idx="41">
                  <c:v>15655</c:v>
                </c:pt>
                <c:pt idx="42">
                  <c:v>4881</c:v>
                </c:pt>
                <c:pt idx="43">
                  <c:v>2532</c:v>
                </c:pt>
                <c:pt idx="44">
                  <c:v>1060</c:v>
                </c:pt>
                <c:pt idx="45">
                  <c:v>15516</c:v>
                </c:pt>
                <c:pt idx="46">
                  <c:v>13761</c:v>
                </c:pt>
                <c:pt idx="47">
                  <c:v>5059</c:v>
                </c:pt>
                <c:pt idx="48">
                  <c:v>18</c:v>
                </c:pt>
                <c:pt idx="49">
                  <c:v>64156</c:v>
                </c:pt>
                <c:pt idx="50">
                  <c:v>81161</c:v>
                </c:pt>
                <c:pt idx="51">
                  <c:v>92482</c:v>
                </c:pt>
                <c:pt idx="52">
                  <c:v>15035</c:v>
                </c:pt>
                <c:pt idx="53">
                  <c:v>3071</c:v>
                </c:pt>
                <c:pt idx="54">
                  <c:v>265</c:v>
                </c:pt>
                <c:pt idx="55">
                  <c:v>2034</c:v>
                </c:pt>
                <c:pt idx="56">
                  <c:v>2316</c:v>
                </c:pt>
                <c:pt idx="57">
                  <c:v>14547</c:v>
                </c:pt>
                <c:pt idx="58">
                  <c:v>27</c:v>
                </c:pt>
                <c:pt idx="59">
                  <c:v>7398</c:v>
                </c:pt>
                <c:pt idx="60">
                  <c:v>220352</c:v>
                </c:pt>
                <c:pt idx="61">
                  <c:v>7189</c:v>
                </c:pt>
                <c:pt idx="62">
                  <c:v>326</c:v>
                </c:pt>
                <c:pt idx="63">
                  <c:v>1137</c:v>
                </c:pt>
                <c:pt idx="64">
                  <c:v>207112</c:v>
                </c:pt>
                <c:pt idx="65">
                  <c:v>33624</c:v>
                </c:pt>
                <c:pt idx="66">
                  <c:v>4227</c:v>
                </c:pt>
                <c:pt idx="67">
                  <c:v>14</c:v>
                </c:pt>
                <c:pt idx="68">
                  <c:v>23</c:v>
                </c:pt>
                <c:pt idx="69">
                  <c:v>45309</c:v>
                </c:pt>
                <c:pt idx="70">
                  <c:v>7055</c:v>
                </c:pt>
                <c:pt idx="71">
                  <c:v>1954</c:v>
                </c:pt>
                <c:pt idx="72">
                  <c:v>389</c:v>
                </c:pt>
                <c:pt idx="73">
                  <c:v>7340</c:v>
                </c:pt>
                <c:pt idx="74">
                  <c:v>12</c:v>
                </c:pt>
                <c:pt idx="75">
                  <c:v>39741</c:v>
                </c:pt>
                <c:pt idx="76">
                  <c:v>4448</c:v>
                </c:pt>
                <c:pt idx="77">
                  <c:v>1854</c:v>
                </c:pt>
                <c:pt idx="78">
                  <c:v>1480073</c:v>
                </c:pt>
                <c:pt idx="79">
                  <c:v>100303</c:v>
                </c:pt>
                <c:pt idx="80">
                  <c:v>293606</c:v>
                </c:pt>
                <c:pt idx="81">
                  <c:v>112585</c:v>
                </c:pt>
                <c:pt idx="82">
                  <c:v>25892</c:v>
                </c:pt>
                <c:pt idx="83">
                  <c:v>63985</c:v>
                </c:pt>
                <c:pt idx="84">
                  <c:v>246286</c:v>
                </c:pt>
                <c:pt idx="85">
                  <c:v>853</c:v>
                </c:pt>
                <c:pt idx="86">
                  <c:v>31142</c:v>
                </c:pt>
                <c:pt idx="87">
                  <c:v>1176</c:v>
                </c:pt>
                <c:pt idx="88">
                  <c:v>84648</c:v>
                </c:pt>
                <c:pt idx="89">
                  <c:v>17975</c:v>
                </c:pt>
                <c:pt idx="90">
                  <c:v>7413</c:v>
                </c:pt>
                <c:pt idx="91">
                  <c:v>64379</c:v>
                </c:pt>
                <c:pt idx="92">
                  <c:v>33296</c:v>
                </c:pt>
                <c:pt idx="93">
                  <c:v>20</c:v>
                </c:pt>
                <c:pt idx="94">
                  <c:v>1219</c:v>
                </c:pt>
                <c:pt idx="95">
                  <c:v>3882</c:v>
                </c:pt>
                <c:pt idx="96">
                  <c:v>505</c:v>
                </c:pt>
                <c:pt idx="97">
                  <c:v>1167</c:v>
                </c:pt>
                <c:pt idx="98">
                  <c:v>2827</c:v>
                </c:pt>
                <c:pt idx="99">
                  <c:v>86</c:v>
                </c:pt>
                <c:pt idx="100">
                  <c:v>2019</c:v>
                </c:pt>
                <c:pt idx="101">
                  <c:v>6321</c:v>
                </c:pt>
                <c:pt idx="102">
                  <c:v>9690</c:v>
                </c:pt>
                <c:pt idx="103">
                  <c:v>3664</c:v>
                </c:pt>
                <c:pt idx="104">
                  <c:v>8904</c:v>
                </c:pt>
                <c:pt idx="105">
                  <c:v>3369</c:v>
                </c:pt>
                <c:pt idx="106">
                  <c:v>2513</c:v>
                </c:pt>
                <c:pt idx="107">
                  <c:v>701</c:v>
                </c:pt>
                <c:pt idx="108">
                  <c:v>6208</c:v>
                </c:pt>
                <c:pt idx="109">
                  <c:v>344</c:v>
                </c:pt>
                <c:pt idx="110">
                  <c:v>395489</c:v>
                </c:pt>
                <c:pt idx="111">
                  <c:v>23154</c:v>
                </c:pt>
                <c:pt idx="112">
                  <c:v>116</c:v>
                </c:pt>
                <c:pt idx="113">
                  <c:v>289</c:v>
                </c:pt>
                <c:pt idx="114">
                  <c:v>2893</c:v>
                </c:pt>
                <c:pt idx="115">
                  <c:v>20887</c:v>
                </c:pt>
                <c:pt idx="116">
                  <c:v>1701</c:v>
                </c:pt>
                <c:pt idx="117">
                  <c:v>350</c:v>
                </c:pt>
                <c:pt idx="118">
                  <c:v>1843</c:v>
                </c:pt>
                <c:pt idx="119">
                  <c:v>18752</c:v>
                </c:pt>
                <c:pt idx="120">
                  <c:v>53413</c:v>
                </c:pt>
                <c:pt idx="121">
                  <c:v>1557</c:v>
                </c:pt>
                <c:pt idx="122">
                  <c:v>3439</c:v>
                </c:pt>
                <c:pt idx="123">
                  <c:v>1132</c:v>
                </c:pt>
                <c:pt idx="124">
                  <c:v>41180</c:v>
                </c:pt>
                <c:pt idx="125">
                  <c:v>10213</c:v>
                </c:pt>
                <c:pt idx="126">
                  <c:v>9132</c:v>
                </c:pt>
                <c:pt idx="127">
                  <c:v>77058</c:v>
                </c:pt>
                <c:pt idx="128">
                  <c:v>274289</c:v>
                </c:pt>
                <c:pt idx="129">
                  <c:v>61442</c:v>
                </c:pt>
                <c:pt idx="130">
                  <c:v>62</c:v>
                </c:pt>
                <c:pt idx="131">
                  <c:v>4548</c:v>
                </c:pt>
                <c:pt idx="132">
                  <c:v>389717</c:v>
                </c:pt>
                <c:pt idx="133">
                  <c:v>82040</c:v>
                </c:pt>
                <c:pt idx="134">
                  <c:v>43402</c:v>
                </c:pt>
                <c:pt idx="135">
                  <c:v>50299</c:v>
                </c:pt>
                <c:pt idx="136">
                  <c:v>109597</c:v>
                </c:pt>
                <c:pt idx="137">
                  <c:v>45902</c:v>
                </c:pt>
                <c:pt idx="138">
                  <c:v>816680</c:v>
                </c:pt>
                <c:pt idx="139">
                  <c:v>1879</c:v>
                </c:pt>
                <c:pt idx="140">
                  <c:v>17</c:v>
                </c:pt>
                <c:pt idx="141">
                  <c:v>24</c:v>
                </c:pt>
                <c:pt idx="142">
                  <c:v>52</c:v>
                </c:pt>
                <c:pt idx="143">
                  <c:v>699</c:v>
                </c:pt>
                <c:pt idx="144">
                  <c:v>865</c:v>
                </c:pt>
                <c:pt idx="145">
                  <c:v>268934</c:v>
                </c:pt>
                <c:pt idx="146">
                  <c:v>9764</c:v>
                </c:pt>
                <c:pt idx="147">
                  <c:v>24141</c:v>
                </c:pt>
                <c:pt idx="148">
                  <c:v>114</c:v>
                </c:pt>
                <c:pt idx="149">
                  <c:v>1783</c:v>
                </c:pt>
                <c:pt idx="150">
                  <c:v>50838</c:v>
                </c:pt>
                <c:pt idx="151">
                  <c:v>2181</c:v>
                </c:pt>
                <c:pt idx="152">
                  <c:v>2087</c:v>
                </c:pt>
                <c:pt idx="153">
                  <c:v>3196</c:v>
                </c:pt>
                <c:pt idx="154">
                  <c:v>452529</c:v>
                </c:pt>
                <c:pt idx="155">
                  <c:v>14203</c:v>
                </c:pt>
                <c:pt idx="156">
                  <c:v>2305</c:v>
                </c:pt>
                <c:pt idx="157">
                  <c:v>272421</c:v>
                </c:pt>
                <c:pt idx="158">
                  <c:v>2805</c:v>
                </c:pt>
                <c:pt idx="159">
                  <c:v>11424</c:v>
                </c:pt>
                <c:pt idx="160">
                  <c:v>1483</c:v>
                </c:pt>
                <c:pt idx="161">
                  <c:v>79395</c:v>
                </c:pt>
                <c:pt idx="162">
                  <c:v>34477</c:v>
                </c:pt>
                <c:pt idx="163">
                  <c:v>674</c:v>
                </c:pt>
                <c:pt idx="164">
                  <c:v>462</c:v>
                </c:pt>
                <c:pt idx="165">
                  <c:v>7235</c:v>
                </c:pt>
                <c:pt idx="166">
                  <c:v>509</c:v>
                </c:pt>
                <c:pt idx="167">
                  <c:v>3297</c:v>
                </c:pt>
                <c:pt idx="168">
                  <c:v>24</c:v>
                </c:pt>
                <c:pt idx="169">
                  <c:v>874</c:v>
                </c:pt>
                <c:pt idx="170">
                  <c:v>148</c:v>
                </c:pt>
                <c:pt idx="171">
                  <c:v>1455</c:v>
                </c:pt>
                <c:pt idx="172">
                  <c:v>227019</c:v>
                </c:pt>
                <c:pt idx="173">
                  <c:v>1128</c:v>
                </c:pt>
                <c:pt idx="174">
                  <c:v>67096</c:v>
                </c:pt>
                <c:pt idx="175">
                  <c:v>59177</c:v>
                </c:pt>
                <c:pt idx="176">
                  <c:v>301708</c:v>
                </c:pt>
                <c:pt idx="177">
                  <c:v>1202</c:v>
                </c:pt>
                <c:pt idx="178">
                  <c:v>4290259</c:v>
                </c:pt>
                <c:pt idx="179">
                  <c:v>21209</c:v>
                </c:pt>
                <c:pt idx="180">
                  <c:v>15988</c:v>
                </c:pt>
                <c:pt idx="181">
                  <c:v>431</c:v>
                </c:pt>
                <c:pt idx="182">
                  <c:v>10621</c:v>
                </c:pt>
                <c:pt idx="183">
                  <c:v>10</c:v>
                </c:pt>
                <c:pt idx="184">
                  <c:v>1691</c:v>
                </c:pt>
                <c:pt idx="185">
                  <c:v>4552</c:v>
                </c:pt>
                <c:pt idx="186">
                  <c:v>2704</c:v>
                </c:pt>
              </c:numCache>
            </c:numRef>
          </c:val>
          <c:smooth val="0"/>
          <c:extLst>
            <c:ext xmlns:c16="http://schemas.microsoft.com/office/drawing/2014/chart" uri="{C3380CC4-5D6E-409C-BE32-E72D297353CC}">
              <c16:uniqueId val="{00000001-E8B9-40EE-A167-C5682DA3EABD}"/>
            </c:ext>
          </c:extLst>
        </c:ser>
        <c:dLbls>
          <c:showLegendKey val="0"/>
          <c:showVal val="0"/>
          <c:showCatName val="0"/>
          <c:showSerName val="0"/>
          <c:showPercent val="0"/>
          <c:showBubbleSize val="0"/>
        </c:dLbls>
        <c:marker val="1"/>
        <c:smooth val="0"/>
        <c:axId val="390603440"/>
        <c:axId val="390587600"/>
      </c:lineChart>
      <c:catAx>
        <c:axId val="390603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dk1">
                    <a:alpha val="96000"/>
                  </a:schemeClr>
                </a:solidFill>
                <a:latin typeface="+mn-lt"/>
                <a:ea typeface="+mn-ea"/>
                <a:cs typeface="+mn-cs"/>
              </a:defRPr>
            </a:pPr>
            <a:endParaRPr lang="en-US"/>
          </a:p>
        </c:txPr>
        <c:crossAx val="390587600"/>
        <c:crosses val="autoZero"/>
        <c:auto val="1"/>
        <c:lblAlgn val="ctr"/>
        <c:lblOffset val="100"/>
        <c:noMultiLvlLbl val="0"/>
      </c:catAx>
      <c:valAx>
        <c:axId val="390587600"/>
        <c:scaling>
          <c:orientation val="minMax"/>
          <c:max val="4400000"/>
          <c:min val="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500" b="1" i="0" u="none" strike="noStrike" kern="1200" baseline="0">
                <a:solidFill>
                  <a:schemeClr val="dk1">
                    <a:alpha val="96000"/>
                  </a:schemeClr>
                </a:solidFill>
                <a:latin typeface="+mn-lt"/>
                <a:ea typeface="+mn-ea"/>
                <a:cs typeface="+mn-cs"/>
              </a:defRPr>
            </a:pPr>
            <a:endParaRPr lang="en-US"/>
          </a:p>
        </c:txPr>
        <c:crossAx val="390603440"/>
        <c:crosses val="autoZero"/>
        <c:crossBetween val="between"/>
      </c:valAx>
      <c:valAx>
        <c:axId val="390595760"/>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500" b="1" i="0" u="none" strike="noStrike" kern="1200" baseline="0">
                <a:solidFill>
                  <a:schemeClr val="dk1">
                    <a:alpha val="96000"/>
                  </a:schemeClr>
                </a:solidFill>
                <a:latin typeface="+mn-lt"/>
                <a:ea typeface="+mn-ea"/>
                <a:cs typeface="+mn-cs"/>
              </a:defRPr>
            </a:pPr>
            <a:endParaRPr lang="en-US"/>
          </a:p>
        </c:txPr>
        <c:crossAx val="390596240"/>
        <c:crosses val="max"/>
        <c:crossBetween val="between"/>
      </c:valAx>
      <c:catAx>
        <c:axId val="390596240"/>
        <c:scaling>
          <c:orientation val="minMax"/>
        </c:scaling>
        <c:delete val="1"/>
        <c:axPos val="b"/>
        <c:numFmt formatCode="General" sourceLinked="1"/>
        <c:majorTickMark val="none"/>
        <c:minorTickMark val="none"/>
        <c:tickLblPos val="nextTo"/>
        <c:crossAx val="390595760"/>
        <c:crosses val="autoZero"/>
        <c:auto val="1"/>
        <c:lblAlgn val="ctr"/>
        <c:lblOffset val="100"/>
        <c:noMultiLvlLbl val="0"/>
      </c:catAx>
      <c:spPr>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a:noFill/>
        </a:ln>
        <a:effectLst/>
      </c:spPr>
    </c:plotArea>
    <c:legend>
      <c:legendPos val="b"/>
      <c:overlay val="0"/>
      <c:spPr>
        <a:noFill/>
        <a:ln>
          <a:noFill/>
        </a:ln>
        <a:effectLst/>
      </c:spPr>
      <c:txPr>
        <a:bodyPr rot="0" spcFirstLastPara="1" vertOverflow="ellipsis" vert="horz" wrap="square" anchor="ctr" anchorCtr="1"/>
        <a:lstStyle/>
        <a:p>
          <a:pPr>
            <a:defRPr sz="1500" b="1" i="0" u="none" strike="noStrike" kern="1200" baseline="0">
              <a:solidFill>
                <a:schemeClr val="dk1">
                  <a:alpha val="96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a:solidFill>
            <a:schemeClr val="dk1">
              <a:alpha val="96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 Cases Dataset.xlsx]Visualisation!PivotTable3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Case</a:t>
            </a:r>
            <a:r>
              <a:rPr lang="en-US" baseline="0"/>
              <a:t> Distribution</a:t>
            </a:r>
            <a:endParaRPr lang="en-US"/>
          </a:p>
        </c:rich>
      </c:tx>
      <c:layout>
        <c:manualLayout>
          <c:xMode val="edge"/>
          <c:yMode val="edge"/>
          <c:x val="0.31380555555555556"/>
          <c:y val="3.13867016622922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Visualisation!$G$1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7E2-4DE5-AE1D-1DF48A67923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7E2-4DE5-AE1D-1DF48A67923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7E2-4DE5-AE1D-1DF48A67923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7E2-4DE5-AE1D-1DF48A67923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97E2-4DE5-AE1D-1DF48A67923E}"/>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97E2-4DE5-AE1D-1DF48A67923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Visualisation!$F$2:$F$8</c:f>
              <c:strCache>
                <c:ptCount val="6"/>
                <c:pt idx="0">
                  <c:v>Africa</c:v>
                </c:pt>
                <c:pt idx="1">
                  <c:v>Asia</c:v>
                </c:pt>
                <c:pt idx="2">
                  <c:v>Australia/Oceania</c:v>
                </c:pt>
                <c:pt idx="3">
                  <c:v>Europe</c:v>
                </c:pt>
                <c:pt idx="4">
                  <c:v>North America</c:v>
                </c:pt>
                <c:pt idx="5">
                  <c:v>South America</c:v>
                </c:pt>
              </c:strCache>
            </c:strRef>
          </c:cat>
          <c:val>
            <c:numRef>
              <c:f>Visualisation!$G$2:$G$8</c:f>
              <c:numCache>
                <c:formatCode>0.00%</c:formatCode>
                <c:ptCount val="6"/>
                <c:pt idx="0">
                  <c:v>5.2215514288566141E-2</c:v>
                </c:pt>
                <c:pt idx="1">
                  <c:v>0.24471713059415423</c:v>
                </c:pt>
                <c:pt idx="2">
                  <c:v>1.0284284716135478E-3</c:v>
                </c:pt>
                <c:pt idx="3">
                  <c:v>0.16941758692174411</c:v>
                </c:pt>
                <c:pt idx="4">
                  <c:v>0.30322978965728253</c:v>
                </c:pt>
                <c:pt idx="5">
                  <c:v>0.22939155006663942</c:v>
                </c:pt>
              </c:numCache>
            </c:numRef>
          </c:val>
          <c:extLst>
            <c:ext xmlns:c16="http://schemas.microsoft.com/office/drawing/2014/chart" uri="{C3380CC4-5D6E-409C-BE32-E72D297353CC}">
              <c16:uniqueId val="{00000000-0994-4808-9B93-348F58C35825}"/>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 Cases Dataset.xlsx]Visualisation!PivotTable1</c:name>
    <c:fmtId val="0"/>
  </c:pivotSource>
  <c:chart>
    <c:autoTitleDeleted val="0"/>
    <c:pivotFmts>
      <c:pivotFmt>
        <c:idx val="0"/>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2"/>
            </a:solidFill>
          </a:ln>
          <a:effectLst>
            <a:glow rad="139700">
              <a:schemeClr val="accent2">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2"/>
            </a:solidFill>
          </a:ln>
          <a:effectLst>
            <a:glow rad="139700">
              <a:schemeClr val="accent2">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286956406615624E-2"/>
          <c:y val="0.11766157435448774"/>
          <c:w val="0.72743907484452208"/>
          <c:h val="0.61293417382656235"/>
        </c:manualLayout>
      </c:layout>
      <c:lineChart>
        <c:grouping val="stacked"/>
        <c:varyColors val="0"/>
        <c:ser>
          <c:idx val="0"/>
          <c:order val="0"/>
          <c:tx>
            <c:strRef>
              <c:f>Visualisation!$B$1</c:f>
              <c:strCache>
                <c:ptCount val="1"/>
                <c:pt idx="0">
                  <c:v>Sum of Confirmed</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multiLvlStrRef>
              <c:f>Visualisation!$A$2:$A$11</c:f>
              <c:multiLvlStrCache>
                <c:ptCount val="7"/>
                <c:lvl>
                  <c:pt idx="0">
                    <c:v>Nov</c:v>
                  </c:pt>
                  <c:pt idx="1">
                    <c:v>Dec</c:v>
                  </c:pt>
                  <c:pt idx="2">
                    <c:v>Jan</c:v>
                  </c:pt>
                  <c:pt idx="3">
                    <c:v>Feb</c:v>
                  </c:pt>
                  <c:pt idx="4">
                    <c:v>Mar</c:v>
                  </c:pt>
                  <c:pt idx="5">
                    <c:v>Apr</c:v>
                  </c:pt>
                  <c:pt idx="6">
                    <c:v>May</c:v>
                  </c:pt>
                </c:lvl>
                <c:lvl>
                  <c:pt idx="0">
                    <c:v>2019</c:v>
                  </c:pt>
                  <c:pt idx="2">
                    <c:v>2020</c:v>
                  </c:pt>
                </c:lvl>
              </c:multiLvlStrCache>
            </c:multiLvlStrRef>
          </c:cat>
          <c:val>
            <c:numRef>
              <c:f>Visualisation!$B$2:$B$11</c:f>
              <c:numCache>
                <c:formatCode>General</c:formatCode>
                <c:ptCount val="7"/>
                <c:pt idx="0">
                  <c:v>86783</c:v>
                </c:pt>
                <c:pt idx="1">
                  <c:v>220352</c:v>
                </c:pt>
                <c:pt idx="2">
                  <c:v>8097972</c:v>
                </c:pt>
                <c:pt idx="3">
                  <c:v>4565502</c:v>
                </c:pt>
                <c:pt idx="4">
                  <c:v>3493247</c:v>
                </c:pt>
                <c:pt idx="5">
                  <c:v>16124</c:v>
                </c:pt>
                <c:pt idx="6">
                  <c:v>505</c:v>
                </c:pt>
              </c:numCache>
            </c:numRef>
          </c:val>
          <c:smooth val="0"/>
          <c:extLst>
            <c:ext xmlns:c16="http://schemas.microsoft.com/office/drawing/2014/chart" uri="{C3380CC4-5D6E-409C-BE32-E72D297353CC}">
              <c16:uniqueId val="{00000000-CEC7-466E-ADF5-C359D36C78CF}"/>
            </c:ext>
          </c:extLst>
        </c:ser>
        <c:ser>
          <c:idx val="1"/>
          <c:order val="1"/>
          <c:tx>
            <c:strRef>
              <c:f>Visualisation!$C$1</c:f>
              <c:strCache>
                <c:ptCount val="1"/>
                <c:pt idx="0">
                  <c:v>Sum of Deaths</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multiLvlStrRef>
              <c:f>Visualisation!$A$2:$A$11</c:f>
              <c:multiLvlStrCache>
                <c:ptCount val="7"/>
                <c:lvl>
                  <c:pt idx="0">
                    <c:v>Nov</c:v>
                  </c:pt>
                  <c:pt idx="1">
                    <c:v>Dec</c:v>
                  </c:pt>
                  <c:pt idx="2">
                    <c:v>Jan</c:v>
                  </c:pt>
                  <c:pt idx="3">
                    <c:v>Feb</c:v>
                  </c:pt>
                  <c:pt idx="4">
                    <c:v>Mar</c:v>
                  </c:pt>
                  <c:pt idx="5">
                    <c:v>Apr</c:v>
                  </c:pt>
                  <c:pt idx="6">
                    <c:v>May</c:v>
                  </c:pt>
                </c:lvl>
                <c:lvl>
                  <c:pt idx="0">
                    <c:v>2019</c:v>
                  </c:pt>
                  <c:pt idx="2">
                    <c:v>2020</c:v>
                  </c:pt>
                </c:lvl>
              </c:multiLvlStrCache>
            </c:multiLvlStrRef>
          </c:cat>
          <c:val>
            <c:numRef>
              <c:f>Visualisation!$C$2:$C$11</c:f>
              <c:numCache>
                <c:formatCode>General</c:formatCode>
                <c:ptCount val="7"/>
                <c:pt idx="0">
                  <c:v>4656</c:v>
                </c:pt>
                <c:pt idx="1">
                  <c:v>30212</c:v>
                </c:pt>
                <c:pt idx="2">
                  <c:v>331940</c:v>
                </c:pt>
                <c:pt idx="3">
                  <c:v>198953</c:v>
                </c:pt>
                <c:pt idx="4">
                  <c:v>87553</c:v>
                </c:pt>
                <c:pt idx="5">
                  <c:v>710</c:v>
                </c:pt>
                <c:pt idx="6">
                  <c:v>12</c:v>
                </c:pt>
              </c:numCache>
            </c:numRef>
          </c:val>
          <c:smooth val="0"/>
          <c:extLst>
            <c:ext xmlns:c16="http://schemas.microsoft.com/office/drawing/2014/chart" uri="{C3380CC4-5D6E-409C-BE32-E72D297353CC}">
              <c16:uniqueId val="{00000001-CEC7-466E-ADF5-C359D36C78CF}"/>
            </c:ext>
          </c:extLst>
        </c:ser>
        <c:ser>
          <c:idx val="2"/>
          <c:order val="2"/>
          <c:tx>
            <c:strRef>
              <c:f>Visualisation!$D$1</c:f>
              <c:strCache>
                <c:ptCount val="1"/>
                <c:pt idx="0">
                  <c:v>Sum of Recovered</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multiLvlStrRef>
              <c:f>Visualisation!$A$2:$A$11</c:f>
              <c:multiLvlStrCache>
                <c:ptCount val="7"/>
                <c:lvl>
                  <c:pt idx="0">
                    <c:v>Nov</c:v>
                  </c:pt>
                  <c:pt idx="1">
                    <c:v>Dec</c:v>
                  </c:pt>
                  <c:pt idx="2">
                    <c:v>Jan</c:v>
                  </c:pt>
                  <c:pt idx="3">
                    <c:v>Feb</c:v>
                  </c:pt>
                  <c:pt idx="4">
                    <c:v>Mar</c:v>
                  </c:pt>
                  <c:pt idx="5">
                    <c:v>Apr</c:v>
                  </c:pt>
                  <c:pt idx="6">
                    <c:v>May</c:v>
                  </c:pt>
                </c:lvl>
                <c:lvl>
                  <c:pt idx="0">
                    <c:v>2019</c:v>
                  </c:pt>
                  <c:pt idx="2">
                    <c:v>2020</c:v>
                  </c:pt>
                </c:lvl>
              </c:multiLvlStrCache>
            </c:multiLvlStrRef>
          </c:cat>
          <c:val>
            <c:numRef>
              <c:f>Visualisation!$D$2:$D$11</c:f>
              <c:numCache>
                <c:formatCode>General</c:formatCode>
                <c:ptCount val="7"/>
                <c:pt idx="0">
                  <c:v>78869</c:v>
                </c:pt>
                <c:pt idx="1">
                  <c:v>81212</c:v>
                </c:pt>
                <c:pt idx="2">
                  <c:v>3617414</c:v>
                </c:pt>
                <c:pt idx="3">
                  <c:v>3391320</c:v>
                </c:pt>
                <c:pt idx="4">
                  <c:v>2288393</c:v>
                </c:pt>
                <c:pt idx="5">
                  <c:v>10751</c:v>
                </c:pt>
                <c:pt idx="6">
                  <c:v>128</c:v>
                </c:pt>
              </c:numCache>
            </c:numRef>
          </c:val>
          <c:smooth val="0"/>
          <c:extLst>
            <c:ext xmlns:c16="http://schemas.microsoft.com/office/drawing/2014/chart" uri="{C3380CC4-5D6E-409C-BE32-E72D297353CC}">
              <c16:uniqueId val="{00000002-CEC7-466E-ADF5-C359D36C78CF}"/>
            </c:ext>
          </c:extLst>
        </c:ser>
        <c:dLbls>
          <c:dLblPos val="t"/>
          <c:showLegendKey val="0"/>
          <c:showVal val="0"/>
          <c:showCatName val="0"/>
          <c:showSerName val="0"/>
          <c:showPercent val="0"/>
          <c:showBubbleSize val="0"/>
        </c:dLbls>
        <c:marker val="1"/>
        <c:smooth val="0"/>
        <c:axId val="11374544"/>
        <c:axId val="1887544559"/>
      </c:lineChart>
      <c:catAx>
        <c:axId val="113745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87544559"/>
        <c:crosses val="autoZero"/>
        <c:auto val="1"/>
        <c:lblAlgn val="ctr"/>
        <c:lblOffset val="100"/>
        <c:noMultiLvlLbl val="0"/>
      </c:catAx>
      <c:valAx>
        <c:axId val="18875445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374544"/>
        <c:crosses val="autoZero"/>
        <c:crossBetween val="between"/>
      </c:valAx>
      <c:spPr>
        <a:noFill/>
        <a:ln>
          <a:noFill/>
        </a:ln>
        <a:effectLst/>
      </c:spPr>
    </c:plotArea>
    <c:legend>
      <c:legendPos val="r"/>
      <c:layout>
        <c:manualLayout>
          <c:xMode val="edge"/>
          <c:yMode val="edge"/>
          <c:x val="0.78479328640036006"/>
          <c:y val="0.28358271455384315"/>
          <c:w val="0.20259637312044695"/>
          <c:h val="0.480317577824139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948906</xdr:colOff>
      <xdr:row>6</xdr:row>
      <xdr:rowOff>100640</xdr:rowOff>
    </xdr:from>
    <xdr:to>
      <xdr:col>20</xdr:col>
      <xdr:colOff>546340</xdr:colOff>
      <xdr:row>21</xdr:row>
      <xdr:rowOff>71886</xdr:rowOff>
    </xdr:to>
    <xdr:graphicFrame macro="">
      <xdr:nvGraphicFramePr>
        <xdr:cNvPr id="2" name="Chart 1">
          <a:extLst>
            <a:ext uri="{FF2B5EF4-FFF2-40B4-BE49-F238E27FC236}">
              <a16:creationId xmlns:a16="http://schemas.microsoft.com/office/drawing/2014/main" id="{2C134EE4-770B-EC79-9DC0-98BD78BEFA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129397</xdr:colOff>
      <xdr:row>6</xdr:row>
      <xdr:rowOff>28755</xdr:rowOff>
    </xdr:from>
    <xdr:to>
      <xdr:col>37</xdr:col>
      <xdr:colOff>100642</xdr:colOff>
      <xdr:row>21</xdr:row>
      <xdr:rowOff>71887</xdr:rowOff>
    </xdr:to>
    <xdr:graphicFrame macro="">
      <xdr:nvGraphicFramePr>
        <xdr:cNvPr id="3" name="Chart 2">
          <a:extLst>
            <a:ext uri="{FF2B5EF4-FFF2-40B4-BE49-F238E27FC236}">
              <a16:creationId xmlns:a16="http://schemas.microsoft.com/office/drawing/2014/main" id="{8AFDF341-1C8F-8118-E117-83E33453AA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157534</xdr:colOff>
      <xdr:row>21</xdr:row>
      <xdr:rowOff>143774</xdr:rowOff>
    </xdr:from>
    <xdr:to>
      <xdr:col>37</xdr:col>
      <xdr:colOff>589472</xdr:colOff>
      <xdr:row>58</xdr:row>
      <xdr:rowOff>129395</xdr:rowOff>
    </xdr:to>
    <xdr:graphicFrame macro="">
      <xdr:nvGraphicFramePr>
        <xdr:cNvPr id="4" name="Chart 3">
          <a:extLst>
            <a:ext uri="{FF2B5EF4-FFF2-40B4-BE49-F238E27FC236}">
              <a16:creationId xmlns:a16="http://schemas.microsoft.com/office/drawing/2014/main" id="{98791825-FEE8-09E7-7DC5-12C3DD94C0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29</xdr:col>
      <xdr:colOff>460076</xdr:colOff>
      <xdr:row>1</xdr:row>
      <xdr:rowOff>79830</xdr:rowOff>
    </xdr:from>
    <xdr:to>
      <xdr:col>35</xdr:col>
      <xdr:colOff>145986</xdr:colOff>
      <xdr:row>5</xdr:row>
      <xdr:rowOff>172528</xdr:rowOff>
    </xdr:to>
    <mc:AlternateContent xmlns:mc="http://schemas.openxmlformats.org/markup-compatibility/2006" xmlns:a14="http://schemas.microsoft.com/office/drawing/2010/main">
      <mc:Choice Requires="a14">
        <xdr:graphicFrame macro="">
          <xdr:nvGraphicFramePr>
            <xdr:cNvPr id="5" name="Risk Factor">
              <a:extLst>
                <a:ext uri="{FF2B5EF4-FFF2-40B4-BE49-F238E27FC236}">
                  <a16:creationId xmlns:a16="http://schemas.microsoft.com/office/drawing/2014/main" id="{2715E895-4225-24E6-1E47-6E5093FDC7F0}"/>
                </a:ext>
              </a:extLst>
            </xdr:cNvPr>
            <xdr:cNvGraphicFramePr/>
          </xdr:nvGraphicFramePr>
          <xdr:xfrm>
            <a:off x="0" y="0"/>
            <a:ext cx="0" cy="0"/>
          </xdr:xfrm>
          <a:graphic>
            <a:graphicData uri="http://schemas.microsoft.com/office/drawing/2010/slicer">
              <sle:slicer xmlns:sle="http://schemas.microsoft.com/office/drawing/2010/slicer" name="Risk Factor"/>
            </a:graphicData>
          </a:graphic>
        </xdr:graphicFrame>
      </mc:Choice>
      <mc:Fallback xmlns="">
        <xdr:sp macro="" textlink="">
          <xdr:nvSpPr>
            <xdr:cNvPr id="0" name=""/>
            <xdr:cNvSpPr>
              <a:spLocks noTextEdit="1"/>
            </xdr:cNvSpPr>
          </xdr:nvSpPr>
          <xdr:spPr>
            <a:xfrm>
              <a:off x="21738567" y="683679"/>
              <a:ext cx="3309005" cy="13003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115020</xdr:colOff>
      <xdr:row>1</xdr:row>
      <xdr:rowOff>54790</xdr:rowOff>
    </xdr:from>
    <xdr:to>
      <xdr:col>12</xdr:col>
      <xdr:colOff>373811</xdr:colOff>
      <xdr:row>5</xdr:row>
      <xdr:rowOff>215662</xdr:rowOff>
    </xdr:to>
    <mc:AlternateContent xmlns:mc="http://schemas.openxmlformats.org/markup-compatibility/2006" xmlns:tsle="http://schemas.microsoft.com/office/drawing/2012/timeslicer">
      <mc:Choice Requires="tsle">
        <xdr:graphicFrame macro="">
          <xdr:nvGraphicFramePr>
            <xdr:cNvPr id="6" name="Date of First Case">
              <a:extLst>
                <a:ext uri="{FF2B5EF4-FFF2-40B4-BE49-F238E27FC236}">
                  <a16:creationId xmlns:a16="http://schemas.microsoft.com/office/drawing/2014/main" id="{F1496E17-7795-1B9B-4F9C-9B0EAC0FD024}"/>
                </a:ext>
              </a:extLst>
            </xdr:cNvPr>
            <xdr:cNvGraphicFramePr/>
          </xdr:nvGraphicFramePr>
          <xdr:xfrm>
            <a:off x="0" y="0"/>
            <a:ext cx="0" cy="0"/>
          </xdr:xfrm>
          <a:graphic>
            <a:graphicData uri="http://schemas.microsoft.com/office/drawing/2012/timeslicer">
              <tsle:timeslicer name="Date of First Case"/>
            </a:graphicData>
          </a:graphic>
        </xdr:graphicFrame>
      </mc:Choice>
      <mc:Fallback xmlns="">
        <xdr:sp macro="" textlink="">
          <xdr:nvSpPr>
            <xdr:cNvPr id="0" name=""/>
            <xdr:cNvSpPr>
              <a:spLocks noTextEdit="1"/>
            </xdr:cNvSpPr>
          </xdr:nvSpPr>
          <xdr:spPr>
            <a:xfrm>
              <a:off x="509288" y="658639"/>
              <a:ext cx="7747737" cy="136857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15</xdr:col>
      <xdr:colOff>218979</xdr:colOff>
      <xdr:row>1</xdr:row>
      <xdr:rowOff>57021</xdr:rowOff>
    </xdr:from>
    <xdr:to>
      <xdr:col>25</xdr:col>
      <xdr:colOff>115021</xdr:colOff>
      <xdr:row>5</xdr:row>
      <xdr:rowOff>175294</xdr:rowOff>
    </xdr:to>
    <mc:AlternateContent xmlns:mc="http://schemas.openxmlformats.org/markup-compatibility/2006" xmlns:a14="http://schemas.microsoft.com/office/drawing/2010/main">
      <mc:Choice Requires="a14">
        <xdr:graphicFrame macro="">
          <xdr:nvGraphicFramePr>
            <xdr:cNvPr id="7" name="Continent">
              <a:extLst>
                <a:ext uri="{FF2B5EF4-FFF2-40B4-BE49-F238E27FC236}">
                  <a16:creationId xmlns:a16="http://schemas.microsoft.com/office/drawing/2014/main" id="{DFB6F0B5-B85E-78B4-3216-C997E304F7B0}"/>
                </a:ext>
              </a:extLst>
            </xdr:cNvPr>
            <xdr:cNvGraphicFramePr/>
          </xdr:nvGraphicFramePr>
          <xdr:xfrm>
            <a:off x="0" y="0"/>
            <a:ext cx="0" cy="0"/>
          </xdr:xfrm>
          <a:graphic>
            <a:graphicData uri="http://schemas.microsoft.com/office/drawing/2010/slicer">
              <sle:slicer xmlns:sle="http://schemas.microsoft.com/office/drawing/2010/slicer" name="Continent"/>
            </a:graphicData>
          </a:graphic>
        </xdr:graphicFrame>
      </mc:Choice>
      <mc:Fallback xmlns="">
        <xdr:sp macro="" textlink="">
          <xdr:nvSpPr>
            <xdr:cNvPr id="0" name=""/>
            <xdr:cNvSpPr>
              <a:spLocks noTextEdit="1"/>
            </xdr:cNvSpPr>
          </xdr:nvSpPr>
          <xdr:spPr>
            <a:xfrm>
              <a:off x="13043583" y="660870"/>
              <a:ext cx="5934532" cy="13259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982980</xdr:colOff>
      <xdr:row>11</xdr:row>
      <xdr:rowOff>137160</xdr:rowOff>
    </xdr:from>
    <xdr:to>
      <xdr:col>13</xdr:col>
      <xdr:colOff>312420</xdr:colOff>
      <xdr:row>26</xdr:row>
      <xdr:rowOff>7620</xdr:rowOff>
    </xdr:to>
    <xdr:graphicFrame macro="">
      <xdr:nvGraphicFramePr>
        <xdr:cNvPr id="3" name="Chart 2">
          <a:extLst>
            <a:ext uri="{FF2B5EF4-FFF2-40B4-BE49-F238E27FC236}">
              <a16:creationId xmlns:a16="http://schemas.microsoft.com/office/drawing/2014/main" id="{CF8039E4-44F1-1689-21B6-03C9ACC95C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60960</xdr:colOff>
      <xdr:row>11</xdr:row>
      <xdr:rowOff>76200</xdr:rowOff>
    </xdr:from>
    <xdr:to>
      <xdr:col>6</xdr:col>
      <xdr:colOff>701040</xdr:colOff>
      <xdr:row>26</xdr:row>
      <xdr:rowOff>7620</xdr:rowOff>
    </xdr:to>
    <xdr:graphicFrame macro="">
      <xdr:nvGraphicFramePr>
        <xdr:cNvPr id="4" name="Chart 3">
          <a:extLst>
            <a:ext uri="{FF2B5EF4-FFF2-40B4-BE49-F238E27FC236}">
              <a16:creationId xmlns:a16="http://schemas.microsoft.com/office/drawing/2014/main" id="{15EF31A7-BCEF-F5DF-7856-CE53321618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ska" refreshedDate="45902.56128923611" createdVersion="8" refreshedVersion="8" minRefreshableVersion="3" recordCount="187" xr:uid="{50A6988C-014A-4892-8993-E883C67096AB}">
  <cacheSource type="worksheet">
    <worksheetSource name="Table1"/>
  </cacheSource>
  <cacheFields count="15">
    <cacheField name="Country/Region" numFmtId="0">
      <sharedItems count="187">
        <s v="US"/>
        <s v="Brazil"/>
        <s v="India"/>
        <s v="Russia"/>
        <s v="South Africa"/>
        <s v="Mexico"/>
        <s v="Peru"/>
        <s v="Chile"/>
        <s v="United Kingdom"/>
        <s v="Iran"/>
        <s v="Pakistan"/>
        <s v="Spain"/>
        <s v="Saudi Arabia"/>
        <s v="Colombia"/>
        <s v="Italy"/>
        <s v="Turkey"/>
        <s v="Bangladesh"/>
        <s v="France"/>
        <s v="Germany"/>
        <s v="Argentina"/>
        <s v="Canada"/>
        <s v="Iraq"/>
        <s v="Qatar"/>
        <s v="Indonesia"/>
        <s v="Egypt"/>
        <s v="China"/>
        <s v="Kazakhstan"/>
        <s v="Philippines"/>
        <s v="Ecuador"/>
        <s v="Sweden"/>
        <s v="Oman"/>
        <s v="Bolivia"/>
        <s v="Belarus"/>
        <s v="Ukraine"/>
        <s v="Belgium"/>
        <s v="Kuwait"/>
        <s v="Dominican Republic"/>
        <s v="Israel"/>
        <s v="Panama"/>
        <s v="United Arab Emirates"/>
        <s v="Netherlands"/>
        <s v="Singapore"/>
        <s v="Portugal"/>
        <s v="Romania"/>
        <s v="Guatemala"/>
        <s v="Poland"/>
        <s v="Nigeria"/>
        <s v="Honduras"/>
        <s v="Bahrain"/>
        <s v="Armenia"/>
        <s v="Afghanistan"/>
        <s v="Switzerland"/>
        <s v="Ghana"/>
        <s v="Kyrgyzstan"/>
        <s v="Japan"/>
        <s v="Azerbaijan"/>
        <s v="Algeria"/>
        <s v="Ireland"/>
        <s v="Serbia"/>
        <s v="Moldova"/>
        <s v="Uzbekistan"/>
        <s v="Morocco"/>
        <s v="Austria"/>
        <s v="Nepal"/>
        <s v="Kenya"/>
        <s v="Cameroon"/>
        <s v="Venezuela"/>
        <s v="Costa Rica"/>
        <s v="Cote d'Ivoire"/>
        <s v="Czechia"/>
        <s v="Australia"/>
        <s v="El Salvador"/>
        <s v="Ethiopia"/>
        <s v="South Korea"/>
        <s v="Denmark"/>
        <s v="Sudan"/>
        <s v="Bulgaria"/>
        <s v="West Bank and Gaza"/>
        <s v="Bosnia and Herzegovina"/>
        <s v="North Macedonia"/>
        <s v="Senegal"/>
        <s v="Madagascar"/>
        <s v="Norway"/>
        <s v="Malaysia"/>
        <s v="Congo (Kinshasa)"/>
        <s v="Kosovo"/>
        <s v="Finland"/>
        <s v="Haiti"/>
        <s v="Tajikistan"/>
        <s v="Gabon"/>
        <s v="Guinea"/>
        <s v="Luxembourg"/>
        <s v="Mauritania"/>
        <s v="Djibouti"/>
        <s v="Croatia"/>
        <s v="Albania"/>
        <s v="Central African Republic"/>
        <s v="Zambia"/>
        <s v="Paraguay"/>
        <s v="Hungary"/>
        <s v="Greece"/>
        <s v="Lebanon"/>
        <s v="Malawi"/>
        <s v="Nicaragua"/>
        <s v="Maldives"/>
        <s v="Thailand"/>
        <s v="Congo (Brazzaville)"/>
        <s v="Somalia"/>
        <s v="Equatorial Guinea"/>
        <s v="Montenegro"/>
        <s v="Libya"/>
        <s v="Sri Lanka"/>
        <s v="Zimbabwe"/>
        <s v="Cuba"/>
        <s v="Mali"/>
        <s v="Cabo Verde"/>
        <s v="Eswatini"/>
        <s v="South Sudan"/>
        <s v="Slovakia"/>
        <s v="Slovenia"/>
        <s v="Estonia"/>
        <s v="Lithuania"/>
        <s v="Guinea-Bissau"/>
        <s v="Rwanda"/>
        <s v="Iceland"/>
        <s v="Namibia"/>
        <s v="Sierra Leone"/>
        <s v="Benin"/>
        <s v="Mozambique"/>
        <s v="Yemen"/>
        <s v="New Zealand"/>
        <s v="Suriname"/>
        <s v="Tunisia"/>
        <s v="Latvia"/>
        <s v="Uruguay"/>
        <s v="Jordan"/>
        <s v="Liberia"/>
        <s v="Georgia"/>
        <s v="Niger"/>
        <s v="Uganda"/>
        <s v="Burkina Faso"/>
        <s v="Cyprus"/>
        <s v="Angola"/>
        <s v="Chad"/>
        <s v="Andorra"/>
        <s v="Togo"/>
        <s v="Sao Tome and Principe"/>
        <s v="Jamaica"/>
        <s v="Botswana"/>
        <s v="Malta"/>
        <s v="San Marino"/>
        <s v="Syria"/>
        <s v="Tanzania"/>
        <s v="Lesotho"/>
        <s v="Taiwan"/>
        <s v="Vietnam"/>
        <s v="Guyana"/>
        <s v="Bahamas"/>
        <s v="Burundi"/>
        <s v="Comoros"/>
        <s v="Myanmar"/>
        <s v="Mauritius"/>
        <s v="Gambia"/>
        <s v="Mongolia"/>
        <s v="Eritrea"/>
        <s v="Cambodia"/>
        <s v="Trinidad and Tobago"/>
        <s v="Brunei"/>
        <s v="Monaco"/>
        <s v="Seychelles"/>
        <s v="Barbados"/>
        <s v="Bhutan"/>
        <s v="Antigua and Barbuda"/>
        <s v="Liechtenstein"/>
        <s v="Papua New Guinea"/>
        <s v="Saint Vincent and the Grenadines"/>
        <s v="Belize"/>
        <s v="Fiji"/>
        <s v="Saint Lucia"/>
        <s v="Timor-Leste"/>
        <s v="Grenada"/>
        <s v="Laos"/>
        <s v="Dominica"/>
        <s v="Saint Kitts and Nevis"/>
        <s v="Greenland"/>
        <s v="Holy See"/>
        <s v="Western Sahara"/>
      </sharedItems>
    </cacheField>
    <cacheField name="Confirmed" numFmtId="0">
      <sharedItems containsSemiMixedTypes="0" containsString="0" containsNumber="1" containsInteger="1" minValue="10" maxValue="4290259"/>
    </cacheField>
    <cacheField name="Deaths" numFmtId="0">
      <sharedItems containsSemiMixedTypes="0" containsString="0" containsNumber="1" containsInteger="1" minValue="0" maxValue="148011"/>
    </cacheField>
    <cacheField name="Recovered" numFmtId="0">
      <sharedItems containsSemiMixedTypes="0" containsString="0" containsNumber="1" containsInteger="1" minValue="0" maxValue="1846641"/>
    </cacheField>
    <cacheField name="Active" numFmtId="0">
      <sharedItems containsSemiMixedTypes="0" containsString="0" containsNumber="1" containsInteger="1" minValue="0" maxValue="2816444"/>
    </cacheField>
    <cacheField name="Population" numFmtId="0">
      <sharedItems containsMixedTypes="1" containsNumber="1" containsInteger="1" minValue="528" maxValue="1411778724"/>
    </cacheField>
    <cacheField name="Continent" numFmtId="0">
      <sharedItems count="6">
        <s v="North America"/>
        <s v="South America"/>
        <s v="Asia"/>
        <s v="Europe"/>
        <s v="Africa"/>
        <s v="Australia/Oceania"/>
      </sharedItems>
    </cacheField>
    <cacheField name="Date of First Case" numFmtId="164">
      <sharedItems containsSemiMixedTypes="0" containsNonDate="0" containsDate="1" containsString="0" minDate="2019-11-17T00:00:00" maxDate="2020-05-14T00:00:00" count="57">
        <d v="2020-01-21T00:00:00"/>
        <d v="2020-02-26T00:00:00"/>
        <d v="2020-01-30T00:00:00"/>
        <d v="2020-01-31T00:00:00"/>
        <d v="2020-03-05T00:00:00"/>
        <d v="2020-02-28T00:00:00"/>
        <d v="2020-03-06T00:00:00"/>
        <d v="2020-03-03T00:00:00"/>
        <d v="2020-02-19T00:00:00"/>
        <d v="2020-03-02T00:00:00"/>
        <d v="2020-03-11T00:00:00"/>
        <d v="2020-03-08T00:00:00"/>
        <d v="2019-12-27T00:00:00"/>
        <d v="2020-01-27T00:00:00"/>
        <d v="2020-01-25T00:00:00"/>
        <d v="2020-02-22T00:00:00"/>
        <d v="2020-02-27T00:00:00"/>
        <d v="2020-02-14T00:00:00"/>
        <d v="2019-11-17T00:00:00"/>
        <d v="2020-03-13T00:00:00"/>
        <d v="2020-02-29T00:00:00"/>
        <d v="2020-02-24T00:00:00"/>
        <d v="2020-03-10T00:00:00"/>
        <d v="2020-02-04T00:00:00"/>
        <d v="2020-03-01T00:00:00"/>
        <d v="2020-02-21T00:00:00"/>
        <d v="2020-03-09T00:00:00"/>
        <d v="2020-01-29T00:00:00"/>
        <d v="2020-01-23T00:00:00"/>
        <d v="2020-03-04T00:00:00"/>
        <d v="2020-03-17T00:00:00"/>
        <d v="2020-02-25T00:00:00"/>
        <d v="2020-03-12T00:00:00"/>
        <d v="2020-03-18T00:00:00"/>
        <d v="2020-01-16T00:00:00"/>
        <d v="2020-03-07T00:00:00"/>
        <d v="2020-03-15T00:00:00"/>
        <d v="2020-01-13T00:00:00"/>
        <d v="2020-03-19T00:00:00"/>
        <d v="2020-01-20T00:00:00"/>
        <d v="2020-03-20T00:00:00"/>
        <d v="2020-04-30T00:00:00"/>
        <d v="2020-03-14T00:00:00"/>
        <d v="2020-04-01T00:00:00"/>
        <d v="2020-03-16T00:00:00"/>
        <d v="2020-03-24T00:00:00"/>
        <d v="2020-03-21T00:00:00"/>
        <d v="2020-03-25T00:00:00"/>
        <d v="2020-04-05T00:00:00"/>
        <d v="2020-03-31T00:00:00"/>
        <d v="2020-03-22T00:00:00"/>
        <d v="2020-04-10T00:00:00"/>
        <d v="2020-04-06T00:00:00"/>
        <d v="2020-03-30T00:00:00"/>
        <d v="2020-05-13T00:00:00"/>
        <d v="2020-03-23T00:00:00"/>
        <d v="2020-04-04T00:00:00"/>
      </sharedItems>
      <fieldGroup par="14"/>
    </cacheField>
    <cacheField name="Death Rate" numFmtId="10">
      <sharedItems containsSemiMixedTypes="0" containsString="0" containsNumber="1" minValue="0" maxValue="0.28562980484920164"/>
    </cacheField>
    <cacheField name="Recovery Rate" numFmtId="10">
      <sharedItems containsSemiMixedTypes="0" containsString="0" containsNumber="1" minValue="0" maxValue="1"/>
    </cacheField>
    <cacheField name="Infection Rate" numFmtId="10">
      <sharedItems containsMixedTypes="1" containsNumber="1" minValue="2.7450845829187114E-6" maxValue="3.9032981278970584E-2"/>
    </cacheField>
    <cacheField name="Risk Factor" numFmtId="0">
      <sharedItems count="3">
        <s v="Moderate Risk"/>
        <s v="Low Risk"/>
        <s v="High Risk"/>
      </sharedItems>
    </cacheField>
    <cacheField name="Months (Date of First Case)" numFmtId="0" databaseField="0">
      <fieldGroup base="7">
        <rangePr groupBy="months" startDate="2019-11-17T00:00:00" endDate="2020-05-14T00:00:00"/>
        <groupItems count="14">
          <s v="&lt;17-11-2019"/>
          <s v="Jan"/>
          <s v="Feb"/>
          <s v="Mar"/>
          <s v="Apr"/>
          <s v="May"/>
          <s v="Jun"/>
          <s v="Jul"/>
          <s v="Aug"/>
          <s v="Sep"/>
          <s v="Oct"/>
          <s v="Nov"/>
          <s v="Dec"/>
          <s v="&gt;14-05-2020"/>
        </groupItems>
      </fieldGroup>
    </cacheField>
    <cacheField name="Quarters (Date of First Case)" numFmtId="0" databaseField="0">
      <fieldGroup base="7">
        <rangePr groupBy="quarters" startDate="2019-11-17T00:00:00" endDate="2020-05-14T00:00:00"/>
        <groupItems count="6">
          <s v="&lt;17-11-2019"/>
          <s v="Qtr1"/>
          <s v="Qtr2"/>
          <s v="Qtr3"/>
          <s v="Qtr4"/>
          <s v="&gt;14-05-2020"/>
        </groupItems>
      </fieldGroup>
    </cacheField>
    <cacheField name="Years (Date of First Case)" numFmtId="0" databaseField="0">
      <fieldGroup base="7">
        <rangePr groupBy="years" startDate="2019-11-17T00:00:00" endDate="2020-05-14T00:00:00"/>
        <groupItems count="4">
          <s v="&lt;17-11-2019"/>
          <s v="2019"/>
          <s v="2020"/>
          <s v="&gt;14-05-2020"/>
        </groupItems>
      </fieldGroup>
    </cacheField>
  </cacheFields>
  <extLst>
    <ext xmlns:x14="http://schemas.microsoft.com/office/spreadsheetml/2009/9/main" uri="{725AE2AE-9491-48be-B2B4-4EB974FC3084}">
      <x14:pivotCacheDefinition pivotCacheId="16989326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7">
  <r>
    <x v="0"/>
    <n v="4290259"/>
    <n v="148011"/>
    <n v="1325804"/>
    <n v="2816444"/>
    <n v="331198130"/>
    <x v="0"/>
    <x v="0"/>
    <n v="3.4499315775574385E-2"/>
    <n v="0.30902656459668287"/>
    <n v="1.2953753694201112E-2"/>
    <x v="0"/>
  </r>
  <r>
    <x v="1"/>
    <n v="2442375"/>
    <n v="87618"/>
    <n v="1846641"/>
    <n v="508116"/>
    <n v="212710692"/>
    <x v="1"/>
    <x v="1"/>
    <n v="3.5874097957930291E-2"/>
    <n v="0.75608413941348074"/>
    <n v="1.1482144959596107E-2"/>
    <x v="0"/>
  </r>
  <r>
    <x v="2"/>
    <n v="1480073"/>
    <n v="33408"/>
    <n v="951166"/>
    <n v="495499"/>
    <n v="1381344997"/>
    <x v="2"/>
    <x v="2"/>
    <n v="2.2571859631247918E-2"/>
    <n v="0.64264803154979522"/>
    <n v="1.0714723716482247E-3"/>
    <x v="0"/>
  </r>
  <r>
    <x v="3"/>
    <n v="816680"/>
    <n v="13334"/>
    <n v="602249"/>
    <n v="201097"/>
    <n v="145940924"/>
    <x v="3"/>
    <x v="3"/>
    <n v="1.6327080374197972E-2"/>
    <n v="0.73743571533525987"/>
    <n v="5.5959629253820543E-3"/>
    <x v="1"/>
  </r>
  <r>
    <x v="4"/>
    <n v="452529"/>
    <n v="7067"/>
    <n v="274925"/>
    <n v="170537"/>
    <n v="59381566"/>
    <x v="4"/>
    <x v="4"/>
    <n v="1.5616678710093718E-2"/>
    <n v="0.60753012514115112"/>
    <n v="7.6206983157028904E-3"/>
    <x v="1"/>
  </r>
  <r>
    <x v="5"/>
    <n v="395489"/>
    <n v="44022"/>
    <n v="303810"/>
    <n v="47657"/>
    <n v="129066160"/>
    <x v="0"/>
    <x v="5"/>
    <n v="0.11131030193001576"/>
    <n v="0.7681882429094109"/>
    <n v="3.0642346529872739E-3"/>
    <x v="2"/>
  </r>
  <r>
    <x v="6"/>
    <n v="389717"/>
    <n v="18418"/>
    <n v="272547"/>
    <n v="98752"/>
    <n v="33016319"/>
    <x v="1"/>
    <x v="6"/>
    <n v="4.7259934773181564E-2"/>
    <n v="0.69934593564047753"/>
    <n v="1.180376891803111E-2"/>
    <x v="0"/>
  </r>
  <r>
    <x v="7"/>
    <n v="347923"/>
    <n v="9187"/>
    <n v="319954"/>
    <n v="18782"/>
    <n v="19132514"/>
    <x v="1"/>
    <x v="7"/>
    <n v="2.6405267832250241E-2"/>
    <n v="0.91961152323933748"/>
    <n v="1.8184907639424697E-2"/>
    <x v="0"/>
  </r>
  <r>
    <x v="8"/>
    <n v="301708"/>
    <n v="45844"/>
    <n v="1437"/>
    <n v="254427"/>
    <n v="67922029"/>
    <x v="3"/>
    <x v="3"/>
    <n v="0.15194824134593712"/>
    <n v="4.7628833176448756E-3"/>
    <n v="4.4419756659507328E-3"/>
    <x v="2"/>
  </r>
  <r>
    <x v="9"/>
    <n v="293606"/>
    <n v="15912"/>
    <n v="255144"/>
    <n v="22550"/>
    <n v="84097623"/>
    <x v="2"/>
    <x v="8"/>
    <n v="5.4195077757266542E-2"/>
    <n v="0.86900131468702957"/>
    <n v="3.4912520654715772E-3"/>
    <x v="2"/>
  </r>
  <r>
    <x v="10"/>
    <n v="274289"/>
    <n v="5842"/>
    <n v="241026"/>
    <n v="27421"/>
    <n v="221295851"/>
    <x v="2"/>
    <x v="1"/>
    <n v="2.1298703192618004E-2"/>
    <n v="0.8787300985456945"/>
    <n v="1.2394674313166406E-3"/>
    <x v="0"/>
  </r>
  <r>
    <x v="11"/>
    <n v="272421"/>
    <n v="28432"/>
    <n v="150376"/>
    <n v="93613"/>
    <n v="46756648"/>
    <x v="3"/>
    <x v="3"/>
    <n v="0.10436787178668311"/>
    <n v="0.55199856105072664"/>
    <n v="5.8263586388827534E-3"/>
    <x v="2"/>
  </r>
  <r>
    <x v="12"/>
    <n v="268934"/>
    <n v="2760"/>
    <n v="222936"/>
    <n v="43238"/>
    <n v="34865919"/>
    <x v="2"/>
    <x v="9"/>
    <n v="1.0262741044271086E-2"/>
    <n v="0.8289617526976879"/>
    <n v="7.7133776396371484E-3"/>
    <x v="1"/>
  </r>
  <r>
    <x v="13"/>
    <n v="257101"/>
    <n v="8777"/>
    <n v="131161"/>
    <n v="117163"/>
    <n v="50936262"/>
    <x v="1"/>
    <x v="6"/>
    <n v="3.4138334740043796E-2"/>
    <n v="0.51015359722443709"/>
    <n v="5.0475042711222119E-3"/>
    <x v="0"/>
  </r>
  <r>
    <x v="14"/>
    <n v="246286"/>
    <n v="35112"/>
    <n v="198593"/>
    <n v="12581"/>
    <n v="60452568"/>
    <x v="3"/>
    <x v="3"/>
    <n v="0.14256595990027854"/>
    <n v="0.80635115272488078"/>
    <n v="4.0740370202304726E-3"/>
    <x v="2"/>
  </r>
  <r>
    <x v="15"/>
    <n v="227019"/>
    <n v="5630"/>
    <n v="210469"/>
    <n v="10920"/>
    <n v="84428331"/>
    <x v="2"/>
    <x v="10"/>
    <n v="2.4799686369863315E-2"/>
    <n v="0.92709861289143203"/>
    <n v="2.6888959820844972E-3"/>
    <x v="0"/>
  </r>
  <r>
    <x v="16"/>
    <n v="226225"/>
    <n v="2965"/>
    <n v="125683"/>
    <n v="97577"/>
    <n v="164851401"/>
    <x v="2"/>
    <x v="11"/>
    <n v="1.3106420598961211E-2"/>
    <n v="0.55556636092385903"/>
    <n v="1.3722964962851604E-3"/>
    <x v="1"/>
  </r>
  <r>
    <x v="17"/>
    <n v="220352"/>
    <n v="30212"/>
    <n v="81212"/>
    <n v="108928"/>
    <n v="65288306"/>
    <x v="3"/>
    <x v="12"/>
    <n v="0.13710790008713331"/>
    <n v="0.36855576532094103"/>
    <n v="3.3750607650932158E-3"/>
    <x v="2"/>
  </r>
  <r>
    <x v="18"/>
    <n v="207112"/>
    <n v="9125"/>
    <n v="190314"/>
    <n v="7673"/>
    <n v="83811260"/>
    <x v="3"/>
    <x v="13"/>
    <n v="4.4058287303487965E-2"/>
    <n v="0.91889412491791878"/>
    <n v="2.4711715347078664E-3"/>
    <x v="0"/>
  </r>
  <r>
    <x v="19"/>
    <n v="167416"/>
    <n v="3059"/>
    <n v="72575"/>
    <n v="91782"/>
    <n v="45236884"/>
    <x v="1"/>
    <x v="7"/>
    <n v="1.8271849763463469E-2"/>
    <n v="0.43350097959573758"/>
    <n v="3.7008738267649026E-3"/>
    <x v="1"/>
  </r>
  <r>
    <x v="20"/>
    <n v="116458"/>
    <n v="8944"/>
    <n v="0"/>
    <n v="107514"/>
    <n v="37775022"/>
    <x v="0"/>
    <x v="14"/>
    <n v="7.6800219821738305E-2"/>
    <n v="0"/>
    <n v="3.0829366558674672E-3"/>
    <x v="2"/>
  </r>
  <r>
    <x v="21"/>
    <n v="112585"/>
    <n v="4458"/>
    <n v="77144"/>
    <n v="30983"/>
    <n v="40306025"/>
    <x v="2"/>
    <x v="15"/>
    <n v="3.9596749122884932E-2"/>
    <n v="0.68520673269085575"/>
    <n v="2.7932548545781927E-3"/>
    <x v="0"/>
  </r>
  <r>
    <x v="22"/>
    <n v="109597"/>
    <n v="165"/>
    <n v="106328"/>
    <n v="3104"/>
    <n v="2807805"/>
    <x v="2"/>
    <x v="16"/>
    <n v="1.5055156619250528E-3"/>
    <n v="0.97017254121919394"/>
    <n v="3.9032981278970584E-2"/>
    <x v="1"/>
  </r>
  <r>
    <x v="23"/>
    <n v="100303"/>
    <n v="4838"/>
    <n v="58173"/>
    <n v="37292"/>
    <n v="273808365"/>
    <x v="2"/>
    <x v="9"/>
    <n v="4.8233851430166598E-2"/>
    <n v="0.57997268277120329"/>
    <n v="3.6632555035343787E-4"/>
    <x v="0"/>
  </r>
  <r>
    <x v="24"/>
    <n v="92482"/>
    <n v="4652"/>
    <n v="34838"/>
    <n v="52992"/>
    <n v="102516525"/>
    <x v="4"/>
    <x v="17"/>
    <n v="5.0301680326982547E-2"/>
    <n v="0.37670033087519733"/>
    <n v="9.0211797561417541E-4"/>
    <x v="2"/>
  </r>
  <r>
    <x v="25"/>
    <n v="86783"/>
    <n v="4656"/>
    <n v="78869"/>
    <n v="3258"/>
    <n v="1411778724"/>
    <x v="2"/>
    <x v="18"/>
    <n v="5.365106069161011E-2"/>
    <n v="0.90880702441722461"/>
    <n v="6.1470681293536756E-5"/>
    <x v="2"/>
  </r>
  <r>
    <x v="26"/>
    <n v="84648"/>
    <n v="585"/>
    <n v="54404"/>
    <n v="29659"/>
    <n v="18798667"/>
    <x v="2"/>
    <x v="19"/>
    <n v="6.9109724978735467E-3"/>
    <n v="0.64270862867403833"/>
    <n v="4.5028724643082409E-3"/>
    <x v="1"/>
  </r>
  <r>
    <x v="27"/>
    <n v="82040"/>
    <n v="1945"/>
    <n v="26446"/>
    <n v="53649"/>
    <n v="109722719"/>
    <x v="2"/>
    <x v="2"/>
    <n v="2.370794734275963E-2"/>
    <n v="0.32235494880546073"/>
    <n v="7.4770294381786148E-4"/>
    <x v="0"/>
  </r>
  <r>
    <x v="28"/>
    <n v="81161"/>
    <n v="5532"/>
    <n v="34896"/>
    <n v="40733"/>
    <n v="17668824"/>
    <x v="1"/>
    <x v="20"/>
    <n v="6.8160816155542689E-2"/>
    <n v="0.42996020256034301"/>
    <n v="4.5934579460410038E-3"/>
    <x v="2"/>
  </r>
  <r>
    <x v="29"/>
    <n v="79395"/>
    <n v="5700"/>
    <n v="0"/>
    <n v="73695"/>
    <n v="10105596"/>
    <x v="3"/>
    <x v="3"/>
    <n v="7.1792934063857922E-2"/>
    <n v="0"/>
    <n v="7.8565381002763217E-3"/>
    <x v="2"/>
  </r>
  <r>
    <x v="30"/>
    <n v="77058"/>
    <n v="393"/>
    <n v="57028"/>
    <n v="19637"/>
    <n v="5118446"/>
    <x v="2"/>
    <x v="21"/>
    <n v="5.1000545043992833E-3"/>
    <n v="0.74006592436865737"/>
    <n v="1.5054960040606075E-2"/>
    <x v="1"/>
  </r>
  <r>
    <x v="31"/>
    <n v="71181"/>
    <n v="2647"/>
    <n v="21478"/>
    <n v="47056"/>
    <n v="11688459"/>
    <x v="1"/>
    <x v="22"/>
    <n v="3.7186889759907839E-2"/>
    <n v="0.30173782329554233"/>
    <n v="6.0898532475495704E-3"/>
    <x v="0"/>
  </r>
  <r>
    <x v="32"/>
    <n v="67251"/>
    <n v="538"/>
    <n v="60492"/>
    <n v="6221"/>
    <n v="9449001"/>
    <x v="3"/>
    <x v="5"/>
    <n v="7.9998810426610764E-3"/>
    <n v="0.89949591827630815"/>
    <n v="7.1172603326002401E-3"/>
    <x v="1"/>
  </r>
  <r>
    <x v="33"/>
    <n v="67096"/>
    <n v="1636"/>
    <n v="37202"/>
    <n v="28258"/>
    <n v="43705858"/>
    <x v="3"/>
    <x v="7"/>
    <n v="2.4382973649695959E-2"/>
    <n v="0.55445928222248719"/>
    <n v="1.5351717840661086E-3"/>
    <x v="0"/>
  </r>
  <r>
    <x v="34"/>
    <n v="66428"/>
    <n v="9822"/>
    <n v="17452"/>
    <n v="39154"/>
    <n v="11594739"/>
    <x v="3"/>
    <x v="23"/>
    <n v="0.14785933642439936"/>
    <n v="0.26272053953152286"/>
    <n v="5.7291500912612179E-3"/>
    <x v="2"/>
  </r>
  <r>
    <x v="35"/>
    <n v="64379"/>
    <n v="438"/>
    <n v="55057"/>
    <n v="8884"/>
    <n v="4276658"/>
    <x v="2"/>
    <x v="21"/>
    <n v="6.8034607558365304E-3"/>
    <n v="0.85520123021482164"/>
    <n v="1.5053576881761413E-2"/>
    <x v="1"/>
  </r>
  <r>
    <x v="36"/>
    <n v="64156"/>
    <n v="1083"/>
    <n v="30204"/>
    <n v="32869"/>
    <n v="10858648"/>
    <x v="0"/>
    <x v="24"/>
    <n v="1.688072822495168E-2"/>
    <n v="0.47078994949809838"/>
    <n v="5.9082861881147638E-3"/>
    <x v="1"/>
  </r>
  <r>
    <x v="37"/>
    <n v="63985"/>
    <n v="474"/>
    <n v="27133"/>
    <n v="36378"/>
    <n v="9197590"/>
    <x v="2"/>
    <x v="25"/>
    <n v="7.407986246776588E-3"/>
    <n v="0.42405251230757207"/>
    <n v="6.9567136608611607E-3"/>
    <x v="1"/>
  </r>
  <r>
    <x v="38"/>
    <n v="61442"/>
    <n v="1322"/>
    <n v="35086"/>
    <n v="25034"/>
    <n v="5112340"/>
    <x v="2"/>
    <x v="26"/>
    <n v="2.1516226685329255E-2"/>
    <n v="0.57104260929006212"/>
    <n v="1.2018371235089998E-2"/>
    <x v="0"/>
  </r>
  <r>
    <x v="39"/>
    <n v="59177"/>
    <n v="345"/>
    <n v="52510"/>
    <n v="6322"/>
    <n v="9902079"/>
    <x v="2"/>
    <x v="27"/>
    <n v="5.8299677239468037E-3"/>
    <n v="0.88733798604187442"/>
    <n v="5.9762197413290681E-3"/>
    <x v="1"/>
  </r>
  <r>
    <x v="40"/>
    <n v="53413"/>
    <n v="6160"/>
    <n v="189"/>
    <n v="47064"/>
    <n v="17138756"/>
    <x v="3"/>
    <x v="16"/>
    <n v="0.11532772920450078"/>
    <n v="3.5384644187744555E-3"/>
    <n v="3.1165039049508613E-3"/>
    <x v="2"/>
  </r>
  <r>
    <x v="41"/>
    <n v="50838"/>
    <n v="27"/>
    <n v="45692"/>
    <n v="5119"/>
    <n v="5854932"/>
    <x v="2"/>
    <x v="28"/>
    <n v="5.3109878437389356E-4"/>
    <n v="0.89877650576340529"/>
    <n v="8.6829360272672688E-3"/>
    <x v="1"/>
  </r>
  <r>
    <x v="42"/>
    <n v="50299"/>
    <n v="1719"/>
    <n v="35375"/>
    <n v="13205"/>
    <n v="10193593"/>
    <x v="3"/>
    <x v="9"/>
    <n v="3.4175629734189548E-2"/>
    <n v="0.70329430008548877"/>
    <n v="4.9343739739265632E-3"/>
    <x v="0"/>
  </r>
  <r>
    <x v="43"/>
    <n v="45902"/>
    <n v="2206"/>
    <n v="25794"/>
    <n v="17902"/>
    <n v="19224023"/>
    <x v="3"/>
    <x v="1"/>
    <n v="4.805890810857915E-2"/>
    <n v="0.56193629907193587"/>
    <n v="2.3877416293145303E-3"/>
    <x v="0"/>
  </r>
  <r>
    <x v="44"/>
    <n v="45309"/>
    <n v="1761"/>
    <n v="32455"/>
    <n v="11093"/>
    <n v="17946899"/>
    <x v="0"/>
    <x v="19"/>
    <n v="3.8866450374097861E-2"/>
    <n v="0.71630360414045779"/>
    <n v="2.5246144194604318E-3"/>
    <x v="0"/>
  </r>
  <r>
    <x v="45"/>
    <n v="43402"/>
    <n v="1676"/>
    <n v="32856"/>
    <n v="8870"/>
    <n v="37842302"/>
    <x v="3"/>
    <x v="29"/>
    <n v="3.8615731993917331E-2"/>
    <n v="0.75701580572323857"/>
    <n v="1.1469175421727779E-3"/>
    <x v="0"/>
  </r>
  <r>
    <x v="46"/>
    <n v="41180"/>
    <n v="860"/>
    <n v="18203"/>
    <n v="22117"/>
    <n v="206606300"/>
    <x v="4"/>
    <x v="16"/>
    <n v="2.0883924235065566E-2"/>
    <n v="0.44203496843127732"/>
    <n v="1.9931628415977636E-4"/>
    <x v="0"/>
  </r>
  <r>
    <x v="47"/>
    <n v="39741"/>
    <n v="1166"/>
    <n v="5039"/>
    <n v="33536"/>
    <n v="10012084"/>
    <x v="0"/>
    <x v="30"/>
    <n v="2.9339976346845827E-2"/>
    <n v="0.12679600412672051"/>
    <n v="3.9693034936582631E-3"/>
    <x v="0"/>
  </r>
  <r>
    <x v="48"/>
    <n v="39482"/>
    <n v="141"/>
    <n v="36110"/>
    <n v="3231"/>
    <n v="1706669"/>
    <x v="2"/>
    <x v="25"/>
    <n v="3.5712476571602247E-3"/>
    <n v="0.91459399219897675"/>
    <n v="2.3133952746548978E-2"/>
    <x v="1"/>
  </r>
  <r>
    <x v="49"/>
    <n v="37390"/>
    <n v="711"/>
    <n v="26665"/>
    <n v="10014"/>
    <n v="2963811"/>
    <x v="2"/>
    <x v="24"/>
    <n v="1.901577962021931E-2"/>
    <n v="0.71315859855576358"/>
    <n v="1.2615514282118529E-2"/>
    <x v="1"/>
  </r>
  <r>
    <x v="50"/>
    <n v="36263"/>
    <n v="1269"/>
    <n v="25198"/>
    <n v="9796"/>
    <n v="39009447"/>
    <x v="2"/>
    <x v="21"/>
    <n v="3.4994346854920991E-2"/>
    <n v="0.69486804732096075"/>
    <n v="9.2959533622714516E-4"/>
    <x v="0"/>
  </r>
  <r>
    <x v="51"/>
    <n v="34477"/>
    <n v="1978"/>
    <n v="30900"/>
    <n v="1599"/>
    <n v="8660952"/>
    <x v="3"/>
    <x v="31"/>
    <n v="5.7371581054036024E-2"/>
    <n v="0.89624967369550712"/>
    <n v="3.9807402234765879E-3"/>
    <x v="2"/>
  </r>
  <r>
    <x v="52"/>
    <n v="33624"/>
    <n v="168"/>
    <n v="29801"/>
    <n v="3655"/>
    <n v="31133483"/>
    <x v="4"/>
    <x v="32"/>
    <n v="4.9964311206281229E-3"/>
    <n v="0.88630145134427785"/>
    <n v="1.0799948081620036E-3"/>
    <x v="1"/>
  </r>
  <r>
    <x v="53"/>
    <n v="33296"/>
    <n v="1301"/>
    <n v="21205"/>
    <n v="10790"/>
    <n v="6534479"/>
    <x v="2"/>
    <x v="33"/>
    <n v="3.9073762614127823E-2"/>
    <n v="0.63686328688130711"/>
    <n v="5.0954330100379842E-3"/>
    <x v="0"/>
  </r>
  <r>
    <x v="54"/>
    <n v="31142"/>
    <n v="998"/>
    <n v="21970"/>
    <n v="8174"/>
    <n v="126435859"/>
    <x v="2"/>
    <x v="34"/>
    <n v="3.2046753580373774E-2"/>
    <n v="0.70547813242566304"/>
    <n v="2.4630670639094564E-4"/>
    <x v="0"/>
  </r>
  <r>
    <x v="55"/>
    <n v="30446"/>
    <n v="423"/>
    <n v="23242"/>
    <n v="6781"/>
    <n v="10148243"/>
    <x v="2"/>
    <x v="5"/>
    <n v="1.389345069959929E-2"/>
    <n v="0.76338435262431847"/>
    <n v="3.0001252433549336E-3"/>
    <x v="1"/>
  </r>
  <r>
    <x v="56"/>
    <n v="27973"/>
    <n v="1163"/>
    <n v="18837"/>
    <n v="7973"/>
    <n v="43926079"/>
    <x v="4"/>
    <x v="31"/>
    <n v="4.1575805240767885E-2"/>
    <n v="0.67339934937260926"/>
    <n v="6.3681987185790017E-4"/>
    <x v="0"/>
  </r>
  <r>
    <x v="57"/>
    <n v="25892"/>
    <n v="1764"/>
    <n v="23364"/>
    <n v="764"/>
    <n v="4943200"/>
    <x v="3"/>
    <x v="20"/>
    <n v="6.8129151861578863E-2"/>
    <n v="0.90236366445234051"/>
    <n v="5.2379025732319142E-3"/>
    <x v="2"/>
  </r>
  <r>
    <x v="58"/>
    <n v="24141"/>
    <n v="543"/>
    <n v="0"/>
    <n v="23598"/>
    <n v="8733665"/>
    <x v="3"/>
    <x v="6"/>
    <n v="2.2492854479930408E-2"/>
    <n v="0"/>
    <n v="2.7641316675187334E-3"/>
    <x v="0"/>
  </r>
  <r>
    <x v="59"/>
    <n v="23154"/>
    <n v="748"/>
    <n v="16154"/>
    <n v="6252"/>
    <n v="4032983"/>
    <x v="3"/>
    <x v="35"/>
    <n v="3.2305433186490456E-2"/>
    <n v="0.69767642739915348"/>
    <n v="5.7411598313208854E-3"/>
    <x v="0"/>
  </r>
  <r>
    <x v="60"/>
    <n v="21209"/>
    <n v="121"/>
    <n v="11674"/>
    <n v="9414"/>
    <n v="33516027"/>
    <x v="2"/>
    <x v="36"/>
    <n v="5.7051251827054551E-3"/>
    <n v="0.55042670564383045"/>
    <n v="6.3280173392866643E-4"/>
    <x v="1"/>
  </r>
  <r>
    <x v="61"/>
    <n v="20887"/>
    <n v="316"/>
    <n v="16553"/>
    <n v="4018"/>
    <n v="36953359"/>
    <x v="4"/>
    <x v="9"/>
    <n v="1.5129027624838417E-2"/>
    <n v="0.79250251352515921"/>
    <n v="5.6522601910153822E-4"/>
    <x v="1"/>
  </r>
  <r>
    <x v="62"/>
    <n v="20558"/>
    <n v="713"/>
    <n v="18246"/>
    <n v="1599"/>
    <n v="9011577"/>
    <x v="3"/>
    <x v="31"/>
    <n v="3.4682362097480303E-2"/>
    <n v="0.88753769821967121"/>
    <n v="2.2812877257776302E-3"/>
    <x v="0"/>
  </r>
  <r>
    <x v="63"/>
    <n v="18752"/>
    <n v="48"/>
    <n v="13754"/>
    <n v="4950"/>
    <n v="29186486"/>
    <x v="2"/>
    <x v="37"/>
    <n v="2.5597269624573378E-3"/>
    <n v="0.73346843003412965"/>
    <n v="6.4248913007204774E-4"/>
    <x v="1"/>
  </r>
  <r>
    <x v="64"/>
    <n v="17975"/>
    <n v="285"/>
    <n v="7833"/>
    <n v="9857"/>
    <n v="53881160"/>
    <x v="4"/>
    <x v="19"/>
    <n v="1.5855354659248956E-2"/>
    <n v="0.4357719054242003"/>
    <n v="3.3360454748932648E-4"/>
    <x v="1"/>
  </r>
  <r>
    <x v="65"/>
    <n v="17110"/>
    <n v="391"/>
    <n v="14539"/>
    <n v="2180"/>
    <n v="26606188"/>
    <x v="4"/>
    <x v="6"/>
    <n v="2.2852133255406196E-2"/>
    <n v="0.84973699590882523"/>
    <n v="6.4308348118114476E-4"/>
    <x v="0"/>
  </r>
  <r>
    <x v="66"/>
    <n v="15988"/>
    <n v="146"/>
    <n v="9959"/>
    <n v="5883"/>
    <n v="28427499"/>
    <x v="1"/>
    <x v="19"/>
    <n v="9.1318488866649981E-3"/>
    <n v="0.62290467850888165"/>
    <n v="5.624131760588577E-4"/>
    <x v="1"/>
  </r>
  <r>
    <x v="67"/>
    <n v="15841"/>
    <n v="115"/>
    <n v="3824"/>
    <n v="11902"/>
    <n v="5098730"/>
    <x v="0"/>
    <x v="6"/>
    <n v="7.2596426993245377E-3"/>
    <n v="0.24139890158449592"/>
    <n v="3.1068520984637352E-3"/>
    <x v="1"/>
  </r>
  <r>
    <x v="68"/>
    <n v="15655"/>
    <n v="96"/>
    <n v="10361"/>
    <n v="5198"/>
    <n v="26172000"/>
    <x v="4"/>
    <x v="10"/>
    <n v="6.1322261258383902E-3"/>
    <n v="0.66183328010220377"/>
    <n v="5.9815833715421058E-4"/>
    <x v="1"/>
  </r>
  <r>
    <x v="69"/>
    <n v="15516"/>
    <n v="373"/>
    <n v="11428"/>
    <n v="3715"/>
    <n v="10711019"/>
    <x v="3"/>
    <x v="24"/>
    <n v="2.4039700953854087E-2"/>
    <n v="0.7365300335137922"/>
    <n v="1.4486016689915311E-3"/>
    <x v="0"/>
  </r>
  <r>
    <x v="70"/>
    <n v="15303"/>
    <n v="167"/>
    <n v="9311"/>
    <n v="5825"/>
    <n v="25528864"/>
    <x v="5"/>
    <x v="14"/>
    <n v="1.0912892896817617E-2"/>
    <n v="0.60844278899562176"/>
    <n v="5.9943912897965216E-4"/>
    <x v="1"/>
  </r>
  <r>
    <x v="71"/>
    <n v="15035"/>
    <n v="408"/>
    <n v="7778"/>
    <n v="6849"/>
    <n v="6489514"/>
    <x v="0"/>
    <x v="38"/>
    <n v="2.7136681077485868E-2"/>
    <n v="0.51732623877618888"/>
    <n v="2.3168144794818227E-3"/>
    <x v="0"/>
  </r>
  <r>
    <x v="72"/>
    <n v="14547"/>
    <n v="228"/>
    <n v="6386"/>
    <n v="7933"/>
    <n v="115223736"/>
    <x v="4"/>
    <x v="19"/>
    <n v="1.5673334708187256E-2"/>
    <n v="0.43899085722142023"/>
    <n v="1.2625002890029533E-4"/>
    <x v="1"/>
  </r>
  <r>
    <x v="73"/>
    <n v="14203"/>
    <n v="300"/>
    <n v="13007"/>
    <n v="896"/>
    <n v="51273732"/>
    <x v="2"/>
    <x v="39"/>
    <n v="2.1122298106033936E-2"/>
    <n v="0.91579243821727807"/>
    <n v="2.7700343715959667E-4"/>
    <x v="0"/>
  </r>
  <r>
    <x v="74"/>
    <n v="13761"/>
    <n v="613"/>
    <n v="12605"/>
    <n v="543"/>
    <n v="5794279"/>
    <x v="3"/>
    <x v="16"/>
    <n v="4.454618123682872E-2"/>
    <n v="0.91599447714555626"/>
    <n v="2.3749287875160997E-3"/>
    <x v="0"/>
  </r>
  <r>
    <x v="75"/>
    <n v="11424"/>
    <n v="720"/>
    <n v="5939"/>
    <n v="4765"/>
    <n v="43943536"/>
    <x v="4"/>
    <x v="19"/>
    <n v="6.3025210084033612E-2"/>
    <n v="0.51987044817927175"/>
    <n v="2.5996997601649536E-4"/>
    <x v="2"/>
  </r>
  <r>
    <x v="76"/>
    <n v="10621"/>
    <n v="347"/>
    <n v="5585"/>
    <n v="4689"/>
    <n v="6942854"/>
    <x v="3"/>
    <x v="11"/>
    <n v="3.2671123246398641E-2"/>
    <n v="0.52584502400903865"/>
    <n v="1.5297743550418891E-3"/>
    <x v="0"/>
  </r>
  <r>
    <x v="77"/>
    <n v="10621"/>
    <n v="78"/>
    <n v="3752"/>
    <n v="6791"/>
    <n v="4800000"/>
    <x v="2"/>
    <x v="4"/>
    <n v="7.3439412484700125E-3"/>
    <n v="0.35326240466999342"/>
    <n v="2.2127083333333335E-3"/>
    <x v="1"/>
  </r>
  <r>
    <x v="78"/>
    <n v="10498"/>
    <n v="294"/>
    <n v="4930"/>
    <n v="5274"/>
    <n v="3278650"/>
    <x v="3"/>
    <x v="4"/>
    <n v="2.8005334349399887E-2"/>
    <n v="0.46961325966850831"/>
    <n v="3.2019276226495663E-3"/>
    <x v="0"/>
  </r>
  <r>
    <x v="79"/>
    <n v="10213"/>
    <n v="466"/>
    <n v="5564"/>
    <n v="4183"/>
    <n v="2083365"/>
    <x v="3"/>
    <x v="1"/>
    <n v="4.5628121022226575E-2"/>
    <n v="0.54479584842847351"/>
    <n v="4.9021654870845966E-3"/>
    <x v="0"/>
  </r>
  <r>
    <x v="80"/>
    <n v="9764"/>
    <n v="194"/>
    <n v="6477"/>
    <n v="3093"/>
    <n v="16783877"/>
    <x v="4"/>
    <x v="9"/>
    <n v="1.9868906185989348E-2"/>
    <n v="0.66335518230233514"/>
    <n v="5.8174878188156404E-4"/>
    <x v="1"/>
  </r>
  <r>
    <x v="81"/>
    <n v="9690"/>
    <n v="91"/>
    <n v="6260"/>
    <n v="3339"/>
    <n v="27755708"/>
    <x v="4"/>
    <x v="40"/>
    <n v="9.3911248710010324E-3"/>
    <n v="0.6460268317853457"/>
    <n v="3.491173779461868E-4"/>
    <x v="1"/>
  </r>
  <r>
    <x v="82"/>
    <n v="9132"/>
    <n v="255"/>
    <n v="8752"/>
    <n v="125"/>
    <n v="5425471"/>
    <x v="3"/>
    <x v="1"/>
    <n v="2.7923784494086726E-2"/>
    <n v="0.95838808585194923"/>
    <n v="1.6831718389057834E-3"/>
    <x v="0"/>
  </r>
  <r>
    <x v="83"/>
    <n v="8904"/>
    <n v="124"/>
    <n v="8601"/>
    <n v="179"/>
    <n v="32406372"/>
    <x v="2"/>
    <x v="14"/>
    <n v="1.3926325247079964E-2"/>
    <n v="0.96597035040431267"/>
    <n v="2.7476077852837093E-4"/>
    <x v="1"/>
  </r>
  <r>
    <x v="84"/>
    <n v="8844"/>
    <n v="208"/>
    <n v="5700"/>
    <n v="2936"/>
    <n v="96076573"/>
    <x v="4"/>
    <x v="22"/>
    <n v="2.3518769787426504E-2"/>
    <n v="0.64450474898236088"/>
    <n v="9.2051576402501362E-5"/>
    <x v="0"/>
  </r>
  <r>
    <x v="85"/>
    <n v="7413"/>
    <n v="185"/>
    <n v="4027"/>
    <n v="3201"/>
    <n v="1790152"/>
    <x v="3"/>
    <x v="19"/>
    <n v="2.4956158100634021E-2"/>
    <n v="0.54323485768244972"/>
    <n v="4.1409891450558392E-3"/>
    <x v="0"/>
  </r>
  <r>
    <x v="86"/>
    <n v="7398"/>
    <n v="329"/>
    <n v="6920"/>
    <n v="149"/>
    <n v="5541604"/>
    <x v="3"/>
    <x v="1"/>
    <n v="4.4471478778048121E-2"/>
    <n v="0.93538794268721281"/>
    <n v="1.334992540066017E-3"/>
    <x v="0"/>
  </r>
  <r>
    <x v="87"/>
    <n v="7340"/>
    <n v="158"/>
    <n v="4365"/>
    <n v="2817"/>
    <n v="11416103"/>
    <x v="0"/>
    <x v="38"/>
    <n v="2.1525885558583105E-2"/>
    <n v="0.59468664850136244"/>
    <n v="6.4295145199723587E-4"/>
    <x v="0"/>
  </r>
  <r>
    <x v="88"/>
    <n v="7235"/>
    <n v="60"/>
    <n v="6028"/>
    <n v="1147"/>
    <n v="9557468"/>
    <x v="2"/>
    <x v="41"/>
    <n v="8.2930200414651004E-3"/>
    <n v="0.83317208016586042"/>
    <n v="7.569996572313922E-4"/>
    <x v="1"/>
  </r>
  <r>
    <x v="89"/>
    <n v="7189"/>
    <n v="49"/>
    <n v="4682"/>
    <n v="2458"/>
    <n v="2230563"/>
    <x v="4"/>
    <x v="32"/>
    <n v="6.815968841285297E-3"/>
    <n v="0.65127277785505633"/>
    <n v="3.2229531288737417E-3"/>
    <x v="1"/>
  </r>
  <r>
    <x v="90"/>
    <n v="7055"/>
    <n v="45"/>
    <n v="6257"/>
    <n v="753"/>
    <n v="13164905"/>
    <x v="4"/>
    <x v="19"/>
    <n v="6.3784549964564135E-3"/>
    <n v="0.88688873139617297"/>
    <n v="5.3589448613567661E-4"/>
    <x v="1"/>
  </r>
  <r>
    <x v="91"/>
    <n v="6321"/>
    <n v="112"/>
    <n v="4825"/>
    <n v="1384"/>
    <n v="626952"/>
    <x v="3"/>
    <x v="20"/>
    <n v="1.7718715393133997E-2"/>
    <n v="0.763328587248853"/>
    <n v="1.0082111549209509E-2"/>
    <x v="1"/>
  </r>
  <r>
    <x v="92"/>
    <n v="6208"/>
    <n v="156"/>
    <n v="4653"/>
    <n v="1399"/>
    <n v="4660728"/>
    <x v="4"/>
    <x v="19"/>
    <n v="2.5128865979381444E-2"/>
    <n v="0.74951675257731953"/>
    <n v="1.3319807549378553E-3"/>
    <x v="0"/>
  </r>
  <r>
    <x v="93"/>
    <n v="5059"/>
    <n v="58"/>
    <n v="4977"/>
    <n v="24"/>
    <n v="989387"/>
    <x v="4"/>
    <x v="33"/>
    <n v="1.1464716347104172E-2"/>
    <n v="0.98379126309547338"/>
    <n v="5.1132671037723357E-3"/>
    <x v="1"/>
  </r>
  <r>
    <x v="94"/>
    <n v="4881"/>
    <n v="139"/>
    <n v="3936"/>
    <n v="806"/>
    <n v="4102577"/>
    <x v="3"/>
    <x v="31"/>
    <n v="2.8477770948576113E-2"/>
    <n v="0.80639213275968036"/>
    <n v="1.1897400097548444E-3"/>
    <x v="0"/>
  </r>
  <r>
    <x v="95"/>
    <n v="4880"/>
    <n v="144"/>
    <n v="2745"/>
    <n v="1991"/>
    <n v="2877470"/>
    <x v="3"/>
    <x v="26"/>
    <n v="2.9508196721311476E-2"/>
    <n v="0.5625"/>
    <n v="1.6959342755962703E-3"/>
    <x v="0"/>
  </r>
  <r>
    <x v="96"/>
    <n v="4599"/>
    <n v="59"/>
    <n v="1546"/>
    <n v="2994"/>
    <n v="4837752"/>
    <x v="4"/>
    <x v="42"/>
    <n v="1.2828875842574472E-2"/>
    <n v="0.33616003479017176"/>
    <n v="9.5064815228229974E-4"/>
    <x v="1"/>
  </r>
  <r>
    <x v="97"/>
    <n v="4552"/>
    <n v="140"/>
    <n v="2815"/>
    <n v="1597"/>
    <n v="18430129"/>
    <x v="4"/>
    <x v="33"/>
    <n v="3.0755711775043937E-2"/>
    <n v="0.61840949033391912"/>
    <n v="2.4698687676033088E-4"/>
    <x v="0"/>
  </r>
  <r>
    <x v="98"/>
    <n v="4548"/>
    <n v="43"/>
    <n v="2905"/>
    <n v="1600"/>
    <n v="7141091"/>
    <x v="1"/>
    <x v="35"/>
    <n v="9.4547053649956022E-3"/>
    <n v="0.63874230430958667"/>
    <n v="6.368774743243014E-4"/>
    <x v="1"/>
  </r>
  <r>
    <x v="99"/>
    <n v="4448"/>
    <n v="596"/>
    <n v="3329"/>
    <n v="523"/>
    <n v="9657785"/>
    <x v="3"/>
    <x v="29"/>
    <n v="0.13399280575539568"/>
    <n v="0.74842625899280579"/>
    <n v="4.6056109138896753E-4"/>
    <x v="2"/>
  </r>
  <r>
    <x v="100"/>
    <n v="4227"/>
    <n v="202"/>
    <n v="1374"/>
    <n v="2651"/>
    <n v="10417673"/>
    <x v="3"/>
    <x v="1"/>
    <n v="4.7788029335225926E-2"/>
    <n v="0.32505322924059615"/>
    <n v="4.0575280103339776E-4"/>
    <x v="0"/>
  </r>
  <r>
    <x v="101"/>
    <n v="3882"/>
    <n v="51"/>
    <n v="1709"/>
    <n v="2122"/>
    <n v="6822220"/>
    <x v="2"/>
    <x v="25"/>
    <n v="1.3137557959814529E-2"/>
    <n v="0.44023699124162802"/>
    <n v="5.6902298665243865E-4"/>
    <x v="1"/>
  </r>
  <r>
    <x v="102"/>
    <n v="3664"/>
    <n v="99"/>
    <n v="1645"/>
    <n v="1920"/>
    <n v="19174839"/>
    <x v="4"/>
    <x v="43"/>
    <n v="2.7019650655021835E-2"/>
    <n v="0.44896288209606988"/>
    <n v="1.910837426066524E-4"/>
    <x v="0"/>
  </r>
  <r>
    <x v="103"/>
    <n v="3439"/>
    <n v="108"/>
    <n v="2492"/>
    <n v="839"/>
    <n v="6632263"/>
    <x v="0"/>
    <x v="33"/>
    <n v="3.1404478045943589E-2"/>
    <n v="0.72462925268973544"/>
    <n v="5.1852587872344626E-4"/>
    <x v="0"/>
  </r>
  <r>
    <x v="104"/>
    <n v="3369"/>
    <n v="15"/>
    <n v="2547"/>
    <n v="807"/>
    <n v="541448"/>
    <x v="2"/>
    <x v="35"/>
    <n v="4.4523597506678537E-3"/>
    <n v="0.75601068566340157"/>
    <n v="6.2222041636500643E-3"/>
    <x v="1"/>
  </r>
  <r>
    <x v="105"/>
    <n v="3297"/>
    <n v="58"/>
    <n v="3111"/>
    <n v="128"/>
    <n v="69817894"/>
    <x v="2"/>
    <x v="37"/>
    <n v="1.7591750075826508E-2"/>
    <n v="0.94358507734303909"/>
    <n v="4.7222850921283877E-5"/>
    <x v="1"/>
  </r>
  <r>
    <x v="106"/>
    <n v="3200"/>
    <n v="54"/>
    <n v="829"/>
    <n v="2317"/>
    <n v="5530506"/>
    <x v="4"/>
    <x v="42"/>
    <n v="1.6875000000000001E-2"/>
    <n v="0.25906249999999997"/>
    <n v="5.7860890124701071E-4"/>
    <x v="1"/>
  </r>
  <r>
    <x v="107"/>
    <n v="3196"/>
    <n v="93"/>
    <n v="1543"/>
    <n v="1560"/>
    <n v="15933012"/>
    <x v="4"/>
    <x v="44"/>
    <n v="2.9098873591989989E-2"/>
    <n v="0.48279098873591991"/>
    <n v="2.0058981942648382E-4"/>
    <x v="0"/>
  </r>
  <r>
    <x v="108"/>
    <n v="3071"/>
    <n v="51"/>
    <n v="842"/>
    <n v="2178"/>
    <n v="1407001"/>
    <x v="4"/>
    <x v="42"/>
    <n v="1.6606968414197329E-2"/>
    <n v="0.27417779225008143"/>
    <n v="2.1826565865980196E-3"/>
    <x v="1"/>
  </r>
  <r>
    <x v="109"/>
    <n v="2893"/>
    <n v="45"/>
    <n v="809"/>
    <n v="2039"/>
    <n v="628074"/>
    <x v="3"/>
    <x v="30"/>
    <n v="1.5554787417905289E-2"/>
    <n v="0.27964051157967507"/>
    <n v="4.6061451357642573E-3"/>
    <x v="1"/>
  </r>
  <r>
    <x v="110"/>
    <n v="2827"/>
    <n v="64"/>
    <n v="577"/>
    <n v="2186"/>
    <n v="6880353"/>
    <x v="4"/>
    <x v="45"/>
    <n v="2.2638839759462327E-2"/>
    <n v="0.20410328970640254"/>
    <n v="4.1088008129815432E-4"/>
    <x v="0"/>
  </r>
  <r>
    <x v="111"/>
    <n v="2805"/>
    <n v="11"/>
    <n v="2121"/>
    <n v="673"/>
    <n v="21422362"/>
    <x v="2"/>
    <x v="13"/>
    <n v="3.9215686274509803E-3"/>
    <n v="0.75614973262032081"/>
    <n v="1.3093794232400704E-4"/>
    <x v="1"/>
  </r>
  <r>
    <x v="112"/>
    <n v="2704"/>
    <n v="36"/>
    <n v="542"/>
    <n v="2126"/>
    <n v="14883803"/>
    <x v="4"/>
    <x v="46"/>
    <n v="1.3313609467455622E-2"/>
    <n v="0.20044378698224852"/>
    <n v="1.8167399823821909E-4"/>
    <x v="1"/>
  </r>
  <r>
    <x v="113"/>
    <n v="2532"/>
    <n v="87"/>
    <n v="2351"/>
    <n v="94"/>
    <n v="11325899"/>
    <x v="0"/>
    <x v="10"/>
    <n v="3.4360189573459717E-2"/>
    <n v="0.92851500789889418"/>
    <n v="2.2355841244920161E-4"/>
    <x v="0"/>
  </r>
  <r>
    <x v="114"/>
    <n v="2513"/>
    <n v="124"/>
    <n v="1913"/>
    <n v="476"/>
    <n v="20302901"/>
    <x v="4"/>
    <x v="47"/>
    <n v="4.9343414245921209E-2"/>
    <n v="0.76124154397134902"/>
    <n v="1.2377541514880066E-4"/>
    <x v="0"/>
  </r>
  <r>
    <x v="115"/>
    <n v="2328"/>
    <n v="22"/>
    <n v="1550"/>
    <n v="756"/>
    <n v="556581"/>
    <x v="4"/>
    <x v="40"/>
    <n v="9.4501718213058413E-3"/>
    <n v="0.66580756013745701"/>
    <n v="4.1826796099759065E-3"/>
    <x v="1"/>
  </r>
  <r>
    <x v="116"/>
    <n v="2316"/>
    <n v="34"/>
    <n v="1025"/>
    <n v="1257"/>
    <n v="1161348"/>
    <x v="4"/>
    <x v="42"/>
    <n v="1.468048359240069E-2"/>
    <n v="0.442573402417962"/>
    <n v="1.9942342863637774E-3"/>
    <x v="1"/>
  </r>
  <r>
    <x v="117"/>
    <n v="2305"/>
    <n v="46"/>
    <n v="1175"/>
    <n v="1084"/>
    <n v="11206572"/>
    <x v="4"/>
    <x v="48"/>
    <n v="1.9956616052060738E-2"/>
    <n v="0.50976138828633411"/>
    <n v="2.0568287965311784E-4"/>
    <x v="1"/>
  </r>
  <r>
    <x v="118"/>
    <n v="2181"/>
    <n v="28"/>
    <n v="1616"/>
    <n v="537"/>
    <n v="5459915"/>
    <x v="3"/>
    <x v="6"/>
    <n v="1.2838147638697846E-2"/>
    <n v="0.74094452086198992"/>
    <n v="3.994567680998697E-4"/>
    <x v="1"/>
  </r>
  <r>
    <x v="119"/>
    <n v="2087"/>
    <n v="116"/>
    <n v="1733"/>
    <n v="238"/>
    <n v="2078968"/>
    <x v="3"/>
    <x v="29"/>
    <n v="5.558217537134643E-2"/>
    <n v="0.83037853378054627"/>
    <n v="1.0038634553297598E-3"/>
    <x v="2"/>
  </r>
  <r>
    <x v="120"/>
    <n v="2034"/>
    <n v="69"/>
    <n v="1923"/>
    <n v="42"/>
    <n v="1326627"/>
    <x v="3"/>
    <x v="16"/>
    <n v="3.3923303834808259E-2"/>
    <n v="0.94542772861356927"/>
    <n v="1.5332116714042456E-3"/>
    <x v="0"/>
  </r>
  <r>
    <x v="121"/>
    <n v="2019"/>
    <n v="80"/>
    <n v="1620"/>
    <n v="319"/>
    <n v="2718121"/>
    <x v="3"/>
    <x v="5"/>
    <n v="3.9623576027736501E-2"/>
    <n v="0.80237741456166423"/>
    <n v="7.4279253940497862E-4"/>
    <x v="0"/>
  </r>
  <r>
    <x v="122"/>
    <n v="1954"/>
    <n v="26"/>
    <n v="803"/>
    <n v="1125"/>
    <n v="1972277"/>
    <x v="4"/>
    <x v="47"/>
    <n v="1.3306038894575231E-2"/>
    <n v="0.41095189355168882"/>
    <n v="9.907330461187754E-4"/>
    <x v="1"/>
  </r>
  <r>
    <x v="123"/>
    <n v="1879"/>
    <n v="5"/>
    <n v="975"/>
    <n v="899"/>
    <n v="12981546"/>
    <x v="4"/>
    <x v="42"/>
    <n v="2.6609898882384245E-3"/>
    <n v="0.51889302820649286"/>
    <n v="1.4474393111575461E-4"/>
    <x v="1"/>
  </r>
  <r>
    <x v="124"/>
    <n v="1854"/>
    <n v="10"/>
    <n v="1823"/>
    <n v="21"/>
    <n v="341465"/>
    <x v="3"/>
    <x v="5"/>
    <n v="5.3937432578209281E-3"/>
    <n v="0.98327939590075508"/>
    <n v="5.4295462199639788E-3"/>
    <x v="1"/>
  </r>
  <r>
    <x v="125"/>
    <n v="1843"/>
    <n v="8"/>
    <n v="101"/>
    <n v="1734"/>
    <n v="2545264"/>
    <x v="4"/>
    <x v="42"/>
    <n v="4.3407487791644059E-3"/>
    <n v="5.4801953336950621E-2"/>
    <n v="7.2408991758811663E-4"/>
    <x v="1"/>
  </r>
  <r>
    <x v="126"/>
    <n v="1783"/>
    <n v="66"/>
    <n v="1317"/>
    <n v="400"/>
    <n v="7992169"/>
    <x v="4"/>
    <x v="49"/>
    <n v="3.7016264722378012E-2"/>
    <n v="0.73864273696017946"/>
    <n v="2.230933805328691E-4"/>
    <x v="0"/>
  </r>
  <r>
    <x v="127"/>
    <n v="1770"/>
    <n v="35"/>
    <n v="1036"/>
    <n v="699"/>
    <n v="12151976"/>
    <x v="4"/>
    <x v="44"/>
    <n v="1.977401129943503E-2"/>
    <n v="0.58531073446327686"/>
    <n v="1.4565532387489903E-4"/>
    <x v="1"/>
  </r>
  <r>
    <x v="128"/>
    <n v="1701"/>
    <n v="11"/>
    <n v="0"/>
    <n v="1690"/>
    <n v="31333962"/>
    <x v="4"/>
    <x v="50"/>
    <n v="6.4667842445620223E-3"/>
    <n v="0"/>
    <n v="5.4286144854583022E-5"/>
    <x v="1"/>
  </r>
  <r>
    <x v="129"/>
    <n v="1691"/>
    <n v="483"/>
    <n v="833"/>
    <n v="375"/>
    <n v="29886897"/>
    <x v="2"/>
    <x v="51"/>
    <n v="0.28562980484920164"/>
    <n v="0.49260792430514488"/>
    <n v="5.6579978844909859E-5"/>
    <x v="2"/>
  </r>
  <r>
    <x v="130"/>
    <n v="1557"/>
    <n v="22"/>
    <n v="1514"/>
    <n v="21"/>
    <n v="5002100"/>
    <x v="5"/>
    <x v="5"/>
    <n v="1.4129736673089274E-2"/>
    <n v="0.97238278741168915"/>
    <n v="3.112692669078987E-4"/>
    <x v="1"/>
  </r>
  <r>
    <x v="131"/>
    <n v="1483"/>
    <n v="24"/>
    <n v="925"/>
    <n v="534"/>
    <n v="587154"/>
    <x v="1"/>
    <x v="19"/>
    <n v="1.6183412002697236E-2"/>
    <n v="0.62373567093728932"/>
    <n v="2.5257428204525558E-3"/>
    <x v="1"/>
  </r>
  <r>
    <x v="132"/>
    <n v="1455"/>
    <n v="50"/>
    <n v="1157"/>
    <n v="248"/>
    <n v="11830801"/>
    <x v="4"/>
    <x v="9"/>
    <n v="3.4364261168384883E-2"/>
    <n v="0.79518900343642607"/>
    <n v="1.2298406506879795E-4"/>
    <x v="0"/>
  </r>
  <r>
    <x v="133"/>
    <n v="1219"/>
    <n v="31"/>
    <n v="1045"/>
    <n v="143"/>
    <n v="1883936"/>
    <x v="3"/>
    <x v="9"/>
    <n v="2.5430680885972109E-2"/>
    <n v="0.85726004922067267"/>
    <n v="6.4704958130212494E-4"/>
    <x v="0"/>
  </r>
  <r>
    <x v="134"/>
    <n v="1202"/>
    <n v="35"/>
    <n v="951"/>
    <n v="216"/>
    <n v="3474956"/>
    <x v="1"/>
    <x v="19"/>
    <n v="2.9118136439267885E-2"/>
    <n v="0.79118136439267883"/>
    <n v="3.4590366036289381E-4"/>
    <x v="0"/>
  </r>
  <r>
    <x v="135"/>
    <n v="1176"/>
    <n v="11"/>
    <n v="1041"/>
    <n v="124"/>
    <n v="10213138"/>
    <x v="2"/>
    <x v="9"/>
    <n v="9.3537414965986394E-3"/>
    <n v="0.88520408163265307"/>
    <n v="1.1514580533426651E-4"/>
    <x v="1"/>
  </r>
  <r>
    <x v="136"/>
    <n v="1167"/>
    <n v="72"/>
    <n v="646"/>
    <n v="449"/>
    <n v="5068618"/>
    <x v="4"/>
    <x v="44"/>
    <n v="6.1696658097686374E-2"/>
    <n v="0.55355612682090827"/>
    <n v="2.3024027456793942E-4"/>
    <x v="2"/>
  </r>
  <r>
    <x v="137"/>
    <n v="1137"/>
    <n v="16"/>
    <n v="922"/>
    <n v="199"/>
    <n v="3988368"/>
    <x v="2"/>
    <x v="1"/>
    <n v="1.4072119613016711E-2"/>
    <n v="0.81090589270008795"/>
    <n v="2.8507900976038319E-4"/>
    <x v="1"/>
  </r>
  <r>
    <x v="138"/>
    <n v="1132"/>
    <n v="69"/>
    <n v="1027"/>
    <n v="36"/>
    <n v="24281433"/>
    <x v="4"/>
    <x v="38"/>
    <n v="6.0954063604240286E-2"/>
    <n v="0.90724381625441697"/>
    <n v="4.6619983260460779E-5"/>
    <x v="2"/>
  </r>
  <r>
    <x v="139"/>
    <n v="1128"/>
    <n v="2"/>
    <n v="986"/>
    <n v="140"/>
    <n v="45867852"/>
    <x v="4"/>
    <x v="50"/>
    <n v="1.7730496453900709E-3"/>
    <n v="0.87411347517730498"/>
    <n v="2.4592387714166339E-5"/>
    <x v="1"/>
  </r>
  <r>
    <x v="140"/>
    <n v="1100"/>
    <n v="53"/>
    <n v="926"/>
    <n v="121"/>
    <n v="20954852"/>
    <x v="4"/>
    <x v="26"/>
    <n v="4.818181818181818E-2"/>
    <n v="0.8418181818181818"/>
    <n v="5.2493809071044739E-5"/>
    <x v="0"/>
  </r>
  <r>
    <x v="141"/>
    <n v="1060"/>
    <n v="19"/>
    <n v="852"/>
    <n v="189"/>
    <n v="1208238"/>
    <x v="2"/>
    <x v="26"/>
    <n v="1.7924528301886792E-2"/>
    <n v="0.80377358490566042"/>
    <n v="8.7731059609116749E-4"/>
    <x v="1"/>
  </r>
  <r>
    <x v="142"/>
    <n v="950"/>
    <n v="41"/>
    <n v="242"/>
    <n v="667"/>
    <n v="32956300"/>
    <x v="4"/>
    <x v="46"/>
    <n v="4.3157894736842103E-2"/>
    <n v="0.25473684210526315"/>
    <n v="2.8826051468156317E-5"/>
    <x v="0"/>
  </r>
  <r>
    <x v="143"/>
    <n v="922"/>
    <n v="75"/>
    <n v="810"/>
    <n v="37"/>
    <s v=" 17224679"/>
    <x v="4"/>
    <x v="38"/>
    <n v="8.1344902386117135E-2"/>
    <n v="0.87852494577006512"/>
    <e v="#VALUE!"/>
    <x v="2"/>
  </r>
  <r>
    <x v="144"/>
    <n v="907"/>
    <n v="52"/>
    <n v="803"/>
    <n v="52"/>
    <n v="77278"/>
    <x v="3"/>
    <x v="9"/>
    <n v="5.7331863285556783E-2"/>
    <n v="0.88533627342888643"/>
    <n v="1.1736846191671627E-2"/>
    <x v="2"/>
  </r>
  <r>
    <x v="145"/>
    <n v="874"/>
    <n v="18"/>
    <n v="607"/>
    <n v="249"/>
    <n v="8296582"/>
    <x v="4"/>
    <x v="6"/>
    <n v="2.0594965675057208E-2"/>
    <n v="0.69450800915331812"/>
    <n v="1.0534458648151732E-4"/>
    <x v="0"/>
  </r>
  <r>
    <x v="146"/>
    <n v="865"/>
    <n v="14"/>
    <n v="734"/>
    <n v="117"/>
    <n v="219544"/>
    <x v="4"/>
    <x v="52"/>
    <n v="1.6184971098265895E-2"/>
    <n v="0.84855491329479771"/>
    <n v="3.9399846955507781E-3"/>
    <x v="1"/>
  </r>
  <r>
    <x v="147"/>
    <n v="853"/>
    <n v="10"/>
    <n v="714"/>
    <n v="129"/>
    <n v="2962478"/>
    <x v="0"/>
    <x v="22"/>
    <n v="1.1723329425556858E-2"/>
    <n v="0.83704572098475971"/>
    <n v="2.8793462770018881E-4"/>
    <x v="1"/>
  </r>
  <r>
    <x v="148"/>
    <n v="739"/>
    <n v="2"/>
    <n v="63"/>
    <n v="674"/>
    <n v="2356075"/>
    <x v="4"/>
    <x v="53"/>
    <n v="2.7063599458728013E-3"/>
    <n v="8.5250338294993233E-2"/>
    <n v="3.1365724775314879E-4"/>
    <x v="1"/>
  </r>
  <r>
    <x v="149"/>
    <n v="701"/>
    <n v="9"/>
    <n v="665"/>
    <n v="27"/>
    <n v="441663"/>
    <x v="3"/>
    <x v="35"/>
    <n v="1.2838801711840228E-2"/>
    <n v="0.94864479315263905"/>
    <n v="1.5871829879342395E-3"/>
    <x v="1"/>
  </r>
  <r>
    <x v="150"/>
    <n v="699"/>
    <n v="42"/>
    <n v="657"/>
    <n v="0"/>
    <n v="33938"/>
    <x v="3"/>
    <x v="16"/>
    <n v="6.0085836909871244E-2"/>
    <n v="0.93991416309012876"/>
    <n v="2.0596381637102954E-2"/>
    <x v="2"/>
  </r>
  <r>
    <x v="151"/>
    <n v="674"/>
    <n v="40"/>
    <n v="0"/>
    <n v="634"/>
    <n v="17539600"/>
    <x v="2"/>
    <x v="50"/>
    <n v="5.9347181008902079E-2"/>
    <n v="0"/>
    <n v="3.8427330155761816E-5"/>
    <x v="2"/>
  </r>
  <r>
    <x v="152"/>
    <n v="509"/>
    <n v="21"/>
    <n v="183"/>
    <n v="305"/>
    <n v="59886383"/>
    <x v="4"/>
    <x v="44"/>
    <n v="4.1257367387033402E-2"/>
    <n v="0.35952848722986247"/>
    <n v="8.4994279918358071E-6"/>
    <x v="0"/>
  </r>
  <r>
    <x v="153"/>
    <n v="505"/>
    <n v="12"/>
    <n v="128"/>
    <n v="365"/>
    <n v="2143943"/>
    <x v="4"/>
    <x v="54"/>
    <n v="2.3762376237623763E-2"/>
    <n v="0.25346534653465347"/>
    <n v="2.3554730699463559E-4"/>
    <x v="0"/>
  </r>
  <r>
    <x v="154"/>
    <n v="462"/>
    <n v="7"/>
    <n v="440"/>
    <n v="15"/>
    <n v="23821199"/>
    <x v="2"/>
    <x v="0"/>
    <n v="1.5151515151515152E-2"/>
    <n v="0.95238095238095233"/>
    <n v="1.9394489756791838E-5"/>
    <x v="1"/>
  </r>
  <r>
    <x v="155"/>
    <n v="431"/>
    <n v="0"/>
    <n v="365"/>
    <n v="66"/>
    <n v="97425470"/>
    <x v="2"/>
    <x v="28"/>
    <n v="0"/>
    <n v="0.84686774941995357"/>
    <n v="4.4238944908348918E-6"/>
    <x v="1"/>
  </r>
  <r>
    <x v="156"/>
    <n v="389"/>
    <n v="20"/>
    <n v="181"/>
    <n v="188"/>
    <n v="786936"/>
    <x v="1"/>
    <x v="32"/>
    <n v="5.1413881748071981E-2"/>
    <n v="0.4652956298200514"/>
    <n v="4.943222828794209E-4"/>
    <x v="2"/>
  </r>
  <r>
    <x v="157"/>
    <n v="382"/>
    <n v="11"/>
    <n v="91"/>
    <n v="280"/>
    <n v="393616"/>
    <x v="0"/>
    <x v="36"/>
    <n v="2.8795811518324606E-2"/>
    <n v="0.23821989528795812"/>
    <n v="9.7048900451201169E-4"/>
    <x v="0"/>
  </r>
  <r>
    <x v="158"/>
    <n v="378"/>
    <n v="1"/>
    <n v="301"/>
    <n v="76"/>
    <n v="11922216"/>
    <x v="4"/>
    <x v="49"/>
    <n v="2.6455026455026454E-3"/>
    <n v="0.79629629629629628"/>
    <n v="3.1705515149197092E-5"/>
    <x v="1"/>
  </r>
  <r>
    <x v="159"/>
    <n v="354"/>
    <n v="7"/>
    <n v="328"/>
    <n v="19"/>
    <n v="871326"/>
    <x v="4"/>
    <x v="41"/>
    <n v="1.977401129943503E-2"/>
    <n v="0.92655367231638419"/>
    <n v="4.0627732903643414E-4"/>
    <x v="1"/>
  </r>
  <r>
    <x v="160"/>
    <n v="350"/>
    <n v="6"/>
    <n v="292"/>
    <n v="52"/>
    <n v="54446389"/>
    <x v="2"/>
    <x v="55"/>
    <n v="1.7142857142857144E-2"/>
    <n v="0.8342857142857143"/>
    <n v="6.4283418318155129E-6"/>
    <x v="1"/>
  </r>
  <r>
    <x v="161"/>
    <n v="344"/>
    <n v="10"/>
    <n v="332"/>
    <n v="2"/>
    <n v="1271985"/>
    <x v="4"/>
    <x v="33"/>
    <n v="2.9069767441860465E-2"/>
    <n v="0.96511627906976749"/>
    <n v="2.7044344076384549E-4"/>
    <x v="0"/>
  </r>
  <r>
    <x v="162"/>
    <n v="326"/>
    <n v="8"/>
    <n v="66"/>
    <n v="252"/>
    <n v="2422754"/>
    <x v="4"/>
    <x v="30"/>
    <n v="2.4539877300613498E-2"/>
    <n v="0.20245398773006135"/>
    <n v="1.345576150116768E-4"/>
    <x v="0"/>
  </r>
  <r>
    <x v="163"/>
    <n v="289"/>
    <n v="0"/>
    <n v="222"/>
    <n v="67"/>
    <n v="3283344"/>
    <x v="2"/>
    <x v="22"/>
    <n v="0"/>
    <n v="0.76816608996539792"/>
    <n v="8.8020018615167948E-5"/>
    <x v="1"/>
  </r>
  <r>
    <x v="164"/>
    <n v="265"/>
    <n v="0"/>
    <n v="191"/>
    <n v="74"/>
    <n v="3551175"/>
    <x v="4"/>
    <x v="46"/>
    <n v="0"/>
    <n v="0.72075471698113203"/>
    <n v="7.4623188099713479E-5"/>
    <x v="1"/>
  </r>
  <r>
    <x v="165"/>
    <n v="226"/>
    <n v="0"/>
    <n v="147"/>
    <n v="79"/>
    <n v="16741375"/>
    <x v="2"/>
    <x v="13"/>
    <n v="0"/>
    <n v="0.65044247787610621"/>
    <n v="1.349948854260776E-5"/>
    <x v="1"/>
  </r>
  <r>
    <x v="166"/>
    <n v="148"/>
    <n v="8"/>
    <n v="128"/>
    <n v="12"/>
    <n v="1399950"/>
    <x v="0"/>
    <x v="32"/>
    <n v="5.4054054054054057E-2"/>
    <n v="0.86486486486486491"/>
    <n v="1.0571806135933426E-4"/>
    <x v="2"/>
  </r>
  <r>
    <x v="167"/>
    <n v="141"/>
    <n v="3"/>
    <n v="138"/>
    <n v="0"/>
    <n v="437893"/>
    <x v="2"/>
    <x v="26"/>
    <n v="2.1276595744680851E-2"/>
    <n v="0.97872340425531912"/>
    <n v="3.2199646945715047E-4"/>
    <x v="0"/>
  </r>
  <r>
    <x v="168"/>
    <n v="116"/>
    <n v="4"/>
    <n v="104"/>
    <n v="8"/>
    <n v="39270"/>
    <x v="3"/>
    <x v="20"/>
    <n v="3.4482758620689655E-2"/>
    <n v="0.89655172413793105"/>
    <n v="2.9539088362617776E-3"/>
    <x v="0"/>
  </r>
  <r>
    <x v="169"/>
    <n v="114"/>
    <n v="0"/>
    <n v="39"/>
    <n v="75"/>
    <n v="98408"/>
    <x v="4"/>
    <x v="42"/>
    <n v="0"/>
    <n v="0.34210526315789475"/>
    <n v="1.158442403056662E-3"/>
    <x v="1"/>
  </r>
  <r>
    <x v="170"/>
    <n v="110"/>
    <n v="7"/>
    <n v="94"/>
    <n v="9"/>
    <n v="287411"/>
    <x v="0"/>
    <x v="30"/>
    <n v="6.363636363636363E-2"/>
    <n v="0.8545454545454545"/>
    <n v="3.8272717467320317E-4"/>
    <x v="2"/>
  </r>
  <r>
    <x v="171"/>
    <n v="99"/>
    <n v="0"/>
    <n v="86"/>
    <n v="13"/>
    <n v="772443"/>
    <x v="2"/>
    <x v="6"/>
    <n v="0"/>
    <n v="0.86868686868686873"/>
    <n v="1.2816479662577045E-4"/>
    <x v="1"/>
  </r>
  <r>
    <x v="172"/>
    <n v="86"/>
    <n v="3"/>
    <n v="65"/>
    <n v="18"/>
    <n v="98010"/>
    <x v="0"/>
    <x v="19"/>
    <n v="3.4883720930232558E-2"/>
    <n v="0.7558139534883721"/>
    <n v="8.7746148352208962E-4"/>
    <x v="0"/>
  </r>
  <r>
    <x v="173"/>
    <n v="86"/>
    <n v="1"/>
    <n v="81"/>
    <n v="4"/>
    <n v="38139"/>
    <x v="3"/>
    <x v="7"/>
    <n v="1.1627906976744186E-2"/>
    <n v="0.94186046511627908"/>
    <n v="2.2549096725136999E-3"/>
    <x v="1"/>
  </r>
  <r>
    <x v="174"/>
    <n v="62"/>
    <n v="0"/>
    <n v="11"/>
    <n v="51"/>
    <n v="8963009"/>
    <x v="5"/>
    <x v="40"/>
    <n v="0"/>
    <n v="0.17741935483870969"/>
    <n v="6.9173198420307291E-6"/>
    <x v="1"/>
  </r>
  <r>
    <x v="175"/>
    <n v="52"/>
    <n v="0"/>
    <n v="39"/>
    <n v="13"/>
    <n v="104000"/>
    <x v="0"/>
    <x v="10"/>
    <n v="0"/>
    <n v="0.75"/>
    <n v="5.0000000000000001E-4"/>
    <x v="1"/>
  </r>
  <r>
    <x v="176"/>
    <n v="48"/>
    <n v="2"/>
    <n v="26"/>
    <n v="20"/>
    <n v="398312"/>
    <x v="0"/>
    <x v="55"/>
    <n v="4.1666666666666664E-2"/>
    <n v="0.54166666666666663"/>
    <n v="1.2050854606439174E-4"/>
    <x v="0"/>
  </r>
  <r>
    <x v="177"/>
    <n v="27"/>
    <n v="0"/>
    <n v="18"/>
    <n v="9"/>
    <n v="897095"/>
    <x v="5"/>
    <x v="38"/>
    <n v="0"/>
    <n v="0.66666666666666663"/>
    <n v="3.0097146901944609E-5"/>
    <x v="1"/>
  </r>
  <r>
    <x v="178"/>
    <n v="24"/>
    <n v="0"/>
    <n v="22"/>
    <n v="2"/>
    <n v="183712"/>
    <x v="0"/>
    <x v="19"/>
    <n v="0"/>
    <n v="0.91666666666666663"/>
    <n v="1.306392614527086E-4"/>
    <x v="1"/>
  </r>
  <r>
    <x v="179"/>
    <n v="24"/>
    <n v="0"/>
    <n v="0"/>
    <n v="24"/>
    <n v="1320812"/>
    <x v="2"/>
    <x v="46"/>
    <n v="0"/>
    <n v="0"/>
    <n v="1.8170640484792688E-5"/>
    <x v="1"/>
  </r>
  <r>
    <x v="180"/>
    <n v="23"/>
    <n v="0"/>
    <n v="23"/>
    <n v="0"/>
    <n v="112576"/>
    <x v="0"/>
    <x v="50"/>
    <n v="0"/>
    <n v="1"/>
    <n v="2.0430642410460489E-4"/>
    <x v="1"/>
  </r>
  <r>
    <x v="181"/>
    <n v="20"/>
    <n v="0"/>
    <n v="19"/>
    <n v="1"/>
    <n v="7285750"/>
    <x v="2"/>
    <x v="45"/>
    <n v="0"/>
    <n v="0.95"/>
    <n v="2.7450845829187114E-6"/>
    <x v="1"/>
  </r>
  <r>
    <x v="182"/>
    <n v="18"/>
    <n v="0"/>
    <n v="18"/>
    <n v="0"/>
    <n v="72004"/>
    <x v="0"/>
    <x v="50"/>
    <n v="0"/>
    <n v="1"/>
    <n v="2.4998611188267316E-4"/>
    <x v="1"/>
  </r>
  <r>
    <x v="183"/>
    <n v="17"/>
    <n v="0"/>
    <n v="15"/>
    <n v="2"/>
    <n v="53237"/>
    <x v="0"/>
    <x v="45"/>
    <n v="0"/>
    <n v="0.88235294117647056"/>
    <n v="3.1932678400360654E-4"/>
    <x v="1"/>
  </r>
  <r>
    <x v="184"/>
    <n v="14"/>
    <n v="0"/>
    <n v="13"/>
    <n v="1"/>
    <n v="56780"/>
    <x v="0"/>
    <x v="11"/>
    <n v="0"/>
    <n v="0.9285714285714286"/>
    <n v="2.4656569214512151E-4"/>
    <x v="1"/>
  </r>
  <r>
    <x v="185"/>
    <n v="12"/>
    <n v="0"/>
    <n v="12"/>
    <n v="0"/>
    <n v="528"/>
    <x v="3"/>
    <x v="50"/>
    <n v="0"/>
    <n v="1"/>
    <n v="2.2727272727272728E-2"/>
    <x v="1"/>
  </r>
  <r>
    <x v="186"/>
    <n v="10"/>
    <n v="1"/>
    <n v="8"/>
    <n v="1"/>
    <n v="598682"/>
    <x v="4"/>
    <x v="56"/>
    <n v="0.1"/>
    <n v="0.8"/>
    <n v="1.6703358377235327E-5"/>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FB69AC-5B0C-41F2-8C75-EDBFEE8D00BE}"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17:B21" firstHeaderRow="1" firstDataRow="1" firstDataCol="1"/>
  <pivotFields count="15">
    <pivotField dataField="1" showAll="0"/>
    <pivotField showAll="0"/>
    <pivotField showAll="0"/>
    <pivotField showAll="0"/>
    <pivotField showAll="0"/>
    <pivotField showAll="0"/>
    <pivotField showAll="0">
      <items count="7">
        <item x="4"/>
        <item x="2"/>
        <item x="5"/>
        <item x="3"/>
        <item x="0"/>
        <item x="1"/>
        <item t="default"/>
      </items>
    </pivotField>
    <pivotField numFmtId="164" showAll="0">
      <items count="58">
        <item x="18"/>
        <item x="12"/>
        <item x="37"/>
        <item x="34"/>
        <item x="39"/>
        <item x="0"/>
        <item x="28"/>
        <item x="14"/>
        <item x="13"/>
        <item x="27"/>
        <item x="2"/>
        <item x="3"/>
        <item x="23"/>
        <item x="17"/>
        <item x="8"/>
        <item x="25"/>
        <item x="15"/>
        <item x="21"/>
        <item x="31"/>
        <item x="1"/>
        <item x="16"/>
        <item x="5"/>
        <item x="20"/>
        <item x="24"/>
        <item x="9"/>
        <item x="7"/>
        <item x="29"/>
        <item x="4"/>
        <item x="6"/>
        <item x="35"/>
        <item x="11"/>
        <item x="26"/>
        <item x="22"/>
        <item x="10"/>
        <item x="32"/>
        <item x="19"/>
        <item x="42"/>
        <item x="36"/>
        <item x="44"/>
        <item x="30"/>
        <item x="33"/>
        <item x="38"/>
        <item x="40"/>
        <item x="46"/>
        <item x="50"/>
        <item x="55"/>
        <item x="45"/>
        <item x="47"/>
        <item x="53"/>
        <item x="49"/>
        <item x="43"/>
        <item x="56"/>
        <item x="48"/>
        <item x="52"/>
        <item x="51"/>
        <item x="41"/>
        <item x="54"/>
        <item t="default"/>
      </items>
    </pivotField>
    <pivotField numFmtId="10" showAll="0"/>
    <pivotField numFmtId="10" showAll="0"/>
    <pivotField showAll="0"/>
    <pivotField axis="axisRow" showAll="0">
      <items count="4">
        <item x="2"/>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1"/>
  </rowFields>
  <rowItems count="4">
    <i>
      <x/>
    </i>
    <i>
      <x v="1"/>
    </i>
    <i>
      <x v="2"/>
    </i>
    <i t="grand">
      <x/>
    </i>
  </rowItems>
  <colItems count="1">
    <i/>
  </colItems>
  <dataFields count="1">
    <dataField name="Country/Region Count" fld="0" subtotal="count" baseField="11" baseItem="0"/>
  </dataFields>
  <formats count="7">
    <format dxfId="31">
      <pivotArea type="all" dataOnly="0" outline="0" fieldPosition="0"/>
    </format>
    <format dxfId="30">
      <pivotArea outline="0" collapsedLevelsAreSubtotals="1" fieldPosition="0"/>
    </format>
    <format dxfId="29">
      <pivotArea field="11" type="button" dataOnly="0" labelOnly="1" outline="0" axis="axisRow" fieldPosition="0"/>
    </format>
    <format dxfId="28">
      <pivotArea dataOnly="0" labelOnly="1" fieldPosition="0">
        <references count="1">
          <reference field="11" count="0"/>
        </references>
      </pivotArea>
    </format>
    <format dxfId="27">
      <pivotArea dataOnly="0" labelOnly="1" grandRow="1" outline="0" fieldPosition="0"/>
    </format>
    <format dxfId="26">
      <pivotArea dataOnly="0" labelOnly="1" outline="0" axis="axisValues" fieldPosition="0"/>
    </format>
    <format dxfId="25">
      <pivotArea grandRow="1"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ECAF35-5DA1-4D6F-A2B1-381216BB2A12}"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A8:B15" firstHeaderRow="1" firstDataRow="1" firstDataCol="1"/>
  <pivotFields count="15">
    <pivotField showAll="0"/>
    <pivotField showAll="0"/>
    <pivotField showAll="0"/>
    <pivotField showAll="0"/>
    <pivotField showAll="0"/>
    <pivotField showAll="0"/>
    <pivotField axis="axisRow" showAll="0" sortType="descending">
      <items count="7">
        <item x="4"/>
        <item x="2"/>
        <item x="5"/>
        <item x="3"/>
        <item x="0"/>
        <item x="1"/>
        <item t="default"/>
      </items>
      <autoSortScope>
        <pivotArea dataOnly="0" outline="0" fieldPosition="0">
          <references count="1">
            <reference field="4294967294" count="1" selected="0">
              <x v="0"/>
            </reference>
          </references>
        </pivotArea>
      </autoSortScope>
    </pivotField>
    <pivotField numFmtId="164" showAll="0">
      <items count="58">
        <item x="18"/>
        <item x="12"/>
        <item x="37"/>
        <item x="34"/>
        <item x="39"/>
        <item x="0"/>
        <item x="28"/>
        <item x="14"/>
        <item x="13"/>
        <item x="27"/>
        <item x="2"/>
        <item x="3"/>
        <item x="23"/>
        <item x="17"/>
        <item x="8"/>
        <item x="25"/>
        <item x="15"/>
        <item x="21"/>
        <item x="31"/>
        <item x="1"/>
        <item x="16"/>
        <item x="5"/>
        <item x="20"/>
        <item x="24"/>
        <item x="9"/>
        <item x="7"/>
        <item x="29"/>
        <item x="4"/>
        <item x="6"/>
        <item x="35"/>
        <item x="11"/>
        <item x="26"/>
        <item x="22"/>
        <item x="10"/>
        <item x="32"/>
        <item x="19"/>
        <item x="42"/>
        <item x="36"/>
        <item x="44"/>
        <item x="30"/>
        <item x="33"/>
        <item x="38"/>
        <item x="40"/>
        <item x="46"/>
        <item x="50"/>
        <item x="55"/>
        <item x="45"/>
        <item x="47"/>
        <item x="53"/>
        <item x="49"/>
        <item x="43"/>
        <item x="56"/>
        <item x="48"/>
        <item x="52"/>
        <item x="51"/>
        <item x="41"/>
        <item x="54"/>
        <item t="default"/>
      </items>
    </pivotField>
    <pivotField numFmtId="10" showAll="0"/>
    <pivotField dataField="1" numFmtId="10" showAll="0"/>
    <pivotField showAll="0"/>
    <pivotField showAll="0">
      <items count="4">
        <item x="2"/>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7">
    <i>
      <x v="1"/>
    </i>
    <i>
      <x v="3"/>
    </i>
    <i>
      <x v="4"/>
    </i>
    <i>
      <x v="2"/>
    </i>
    <i>
      <x v="5"/>
    </i>
    <i>
      <x/>
    </i>
    <i t="grand">
      <x/>
    </i>
  </rowItems>
  <colItems count="1">
    <i/>
  </colItems>
  <dataFields count="1">
    <dataField name="Average Recovery Rate" fld="9" subtotal="average" baseField="6" baseItem="1" numFmtId="10"/>
  </dataFields>
  <formats count="6">
    <format dxfId="37">
      <pivotArea type="all" dataOnly="0" outline="0" fieldPosition="0"/>
    </format>
    <format dxfId="36">
      <pivotArea outline="0" collapsedLevelsAreSubtotals="1" fieldPosition="0"/>
    </format>
    <format dxfId="35">
      <pivotArea field="6" type="button" dataOnly="0" labelOnly="1" outline="0" axis="axisRow" fieldPosition="0"/>
    </format>
    <format dxfId="34">
      <pivotArea dataOnly="0" labelOnly="1" fieldPosition="0">
        <references count="1">
          <reference field="6" count="0"/>
        </references>
      </pivotArea>
    </format>
    <format dxfId="33">
      <pivotArea dataOnly="0" labelOnly="1" grandRow="1" outline="0" fieldPosition="0"/>
    </format>
    <format dxfId="32">
      <pivotArea dataOnly="0" labelOnly="1" outline="0" axis="axisValues" fieldPosition="0"/>
    </format>
  </formats>
  <conditionalFormats count="1">
    <conditionalFormat scope="field" priority="1">
      <pivotAreas count="1">
        <pivotArea outline="0" collapsedLevelsAreSubtotals="1" fieldPosition="0">
          <references count="2">
            <reference field="4294967294" count="1" selected="0">
              <x v="0"/>
            </reference>
            <reference field="6" count="0" selected="0"/>
          </references>
        </pivotArea>
      </pivotAreas>
    </conditionalFormat>
  </conditionalFormats>
  <chartFormats count="7">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3"/>
          </reference>
        </references>
      </pivotArea>
    </chartFormat>
    <chartFormat chart="0" format="4">
      <pivotArea type="data" outline="0" fieldPosition="0">
        <references count="2">
          <reference field="4294967294" count="1" selected="0">
            <x v="0"/>
          </reference>
          <reference field="6" count="1" selected="0">
            <x v="4"/>
          </reference>
        </references>
      </pivotArea>
    </chartFormat>
    <chartFormat chart="0" format="5">
      <pivotArea type="data" outline="0" fieldPosition="0">
        <references count="2">
          <reference field="4294967294" count="1" selected="0">
            <x v="0"/>
          </reference>
          <reference field="6" count="1" selected="0">
            <x v="2"/>
          </reference>
        </references>
      </pivotArea>
    </chartFormat>
    <chartFormat chart="0" format="6">
      <pivotArea type="data" outline="0" fieldPosition="0">
        <references count="2">
          <reference field="4294967294" count="1" selected="0">
            <x v="0"/>
          </reference>
          <reference field="6" count="1" selected="0">
            <x v="5"/>
          </reference>
        </references>
      </pivotArea>
    </chartFormat>
    <chartFormat chart="0" format="7">
      <pivotArea type="data" outline="0" fieldPosition="0">
        <references count="2">
          <reference field="4294967294" count="1" selected="0">
            <x v="0"/>
          </reference>
          <reference field="6"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12D130-9E4A-4064-846F-66B8D1DBDD33}"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23:C211" firstHeaderRow="0" firstDataRow="1" firstDataCol="1"/>
  <pivotFields count="15">
    <pivotField axis="axisRow" showAll="0">
      <items count="188">
        <item x="50"/>
        <item x="95"/>
        <item x="56"/>
        <item x="144"/>
        <item x="142"/>
        <item x="172"/>
        <item x="19"/>
        <item x="49"/>
        <item x="70"/>
        <item x="62"/>
        <item x="55"/>
        <item x="157"/>
        <item x="48"/>
        <item x="16"/>
        <item x="170"/>
        <item x="32"/>
        <item x="34"/>
        <item x="176"/>
        <item x="127"/>
        <item x="171"/>
        <item x="31"/>
        <item x="78"/>
        <item x="148"/>
        <item x="1"/>
        <item x="167"/>
        <item x="76"/>
        <item x="140"/>
        <item x="158"/>
        <item x="115"/>
        <item x="165"/>
        <item x="65"/>
        <item x="20"/>
        <item x="96"/>
        <item x="143"/>
        <item x="7"/>
        <item x="25"/>
        <item x="13"/>
        <item x="159"/>
        <item x="106"/>
        <item x="84"/>
        <item x="67"/>
        <item x="68"/>
        <item x="94"/>
        <item x="113"/>
        <item x="141"/>
        <item x="69"/>
        <item x="74"/>
        <item x="93"/>
        <item x="182"/>
        <item x="36"/>
        <item x="28"/>
        <item x="24"/>
        <item x="71"/>
        <item x="108"/>
        <item x="164"/>
        <item x="120"/>
        <item x="116"/>
        <item x="72"/>
        <item x="177"/>
        <item x="86"/>
        <item x="17"/>
        <item x="89"/>
        <item x="162"/>
        <item x="137"/>
        <item x="18"/>
        <item x="52"/>
        <item x="100"/>
        <item x="184"/>
        <item x="180"/>
        <item x="44"/>
        <item x="90"/>
        <item x="122"/>
        <item x="156"/>
        <item x="87"/>
        <item x="185"/>
        <item x="47"/>
        <item x="99"/>
        <item x="124"/>
        <item x="2"/>
        <item x="23"/>
        <item x="9"/>
        <item x="21"/>
        <item x="57"/>
        <item x="37"/>
        <item x="14"/>
        <item x="147"/>
        <item x="54"/>
        <item x="135"/>
        <item x="26"/>
        <item x="64"/>
        <item x="85"/>
        <item x="35"/>
        <item x="53"/>
        <item x="181"/>
        <item x="133"/>
        <item x="101"/>
        <item x="153"/>
        <item x="136"/>
        <item x="110"/>
        <item x="173"/>
        <item x="121"/>
        <item x="91"/>
        <item x="81"/>
        <item x="102"/>
        <item x="83"/>
        <item x="104"/>
        <item x="114"/>
        <item x="149"/>
        <item x="92"/>
        <item x="161"/>
        <item x="5"/>
        <item x="59"/>
        <item x="168"/>
        <item x="163"/>
        <item x="109"/>
        <item x="61"/>
        <item x="128"/>
        <item x="160"/>
        <item x="125"/>
        <item x="63"/>
        <item x="40"/>
        <item x="130"/>
        <item x="103"/>
        <item x="138"/>
        <item x="46"/>
        <item x="79"/>
        <item x="82"/>
        <item x="30"/>
        <item x="10"/>
        <item x="38"/>
        <item x="174"/>
        <item x="98"/>
        <item x="6"/>
        <item x="27"/>
        <item x="45"/>
        <item x="42"/>
        <item x="22"/>
        <item x="43"/>
        <item x="3"/>
        <item x="123"/>
        <item x="183"/>
        <item x="178"/>
        <item x="175"/>
        <item x="150"/>
        <item x="146"/>
        <item x="12"/>
        <item x="80"/>
        <item x="58"/>
        <item x="169"/>
        <item x="126"/>
        <item x="41"/>
        <item x="118"/>
        <item x="119"/>
        <item x="107"/>
        <item x="4"/>
        <item x="73"/>
        <item x="117"/>
        <item x="11"/>
        <item x="111"/>
        <item x="75"/>
        <item x="131"/>
        <item x="29"/>
        <item x="51"/>
        <item x="151"/>
        <item x="154"/>
        <item x="88"/>
        <item x="152"/>
        <item x="105"/>
        <item x="179"/>
        <item x="145"/>
        <item x="166"/>
        <item x="132"/>
        <item x="15"/>
        <item x="139"/>
        <item x="33"/>
        <item x="39"/>
        <item x="8"/>
        <item x="134"/>
        <item x="0"/>
        <item x="60"/>
        <item x="66"/>
        <item x="155"/>
        <item x="77"/>
        <item x="186"/>
        <item x="129"/>
        <item x="97"/>
        <item x="112"/>
        <item t="default"/>
      </items>
    </pivotField>
    <pivotField dataField="1" showAll="0"/>
    <pivotField showAll="0"/>
    <pivotField showAll="0"/>
    <pivotField showAll="0"/>
    <pivotField dataField="1" showAll="0"/>
    <pivotField showAll="0">
      <items count="7">
        <item x="4"/>
        <item x="2"/>
        <item x="5"/>
        <item x="3"/>
        <item x="0"/>
        <item x="1"/>
        <item t="default"/>
      </items>
    </pivotField>
    <pivotField numFmtId="164" showAll="0">
      <items count="58">
        <item x="18"/>
        <item x="12"/>
        <item x="37"/>
        <item x="34"/>
        <item x="39"/>
        <item x="0"/>
        <item x="28"/>
        <item x="14"/>
        <item x="13"/>
        <item x="27"/>
        <item x="2"/>
        <item x="3"/>
        <item x="23"/>
        <item x="17"/>
        <item x="8"/>
        <item x="25"/>
        <item x="15"/>
        <item x="21"/>
        <item x="31"/>
        <item x="1"/>
        <item x="16"/>
        <item x="5"/>
        <item x="20"/>
        <item x="24"/>
        <item x="9"/>
        <item x="7"/>
        <item x="29"/>
        <item x="4"/>
        <item x="6"/>
        <item x="35"/>
        <item x="11"/>
        <item x="26"/>
        <item x="22"/>
        <item x="10"/>
        <item x="32"/>
        <item x="19"/>
        <item x="42"/>
        <item x="36"/>
        <item x="44"/>
        <item x="30"/>
        <item x="33"/>
        <item x="38"/>
        <item x="40"/>
        <item x="46"/>
        <item x="50"/>
        <item x="55"/>
        <item x="45"/>
        <item x="47"/>
        <item x="53"/>
        <item x="49"/>
        <item x="43"/>
        <item x="56"/>
        <item x="48"/>
        <item x="52"/>
        <item x="51"/>
        <item x="41"/>
        <item x="54"/>
        <item t="default"/>
      </items>
    </pivotField>
    <pivotField numFmtId="10" showAll="0"/>
    <pivotField numFmtId="10" showAll="0"/>
    <pivotField showAll="0"/>
    <pivotField showAll="0">
      <items count="4">
        <item x="2"/>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18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t="grand">
      <x/>
    </i>
  </rowItems>
  <colFields count="1">
    <field x="-2"/>
  </colFields>
  <colItems count="2">
    <i>
      <x/>
    </i>
    <i i="1">
      <x v="1"/>
    </i>
  </colItems>
  <dataFields count="2">
    <dataField name="Total Population" fld="5" baseField="0" baseItem="0"/>
    <dataField name="Total Confirmed Cases" fld="1" baseField="0" baseItem="0"/>
  </dataFields>
  <formats count="9">
    <format dxfId="46">
      <pivotArea type="all" dataOnly="0" outline="0" fieldPosition="0"/>
    </format>
    <format dxfId="45">
      <pivotArea outline="0" collapsedLevelsAreSubtotals="1" fieldPosition="0"/>
    </format>
    <format dxfId="44">
      <pivotArea field="0" type="button" dataOnly="0" labelOnly="1" outline="0" axis="axisRow" fieldPosition="0"/>
    </format>
    <format dxfId="43">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42">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41">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40">
      <pivotArea dataOnly="0" labelOnly="1" fieldPosition="0">
        <references count="1">
          <reference field="0" count="37">
            <x v="150"/>
            <x v="151"/>
            <x v="152"/>
            <x v="153"/>
            <x v="154"/>
            <x v="155"/>
            <x v="156"/>
            <x v="157"/>
            <x v="158"/>
            <x v="159"/>
            <x v="160"/>
            <x v="161"/>
            <x v="162"/>
            <x v="163"/>
            <x v="164"/>
            <x v="165"/>
            <x v="166"/>
            <x v="167"/>
            <x v="168"/>
            <x v="169"/>
            <x v="170"/>
            <x v="171"/>
            <x v="172"/>
            <x v="173"/>
            <x v="174"/>
            <x v="175"/>
            <x v="176"/>
            <x v="177"/>
            <x v="178"/>
            <x v="179"/>
            <x v="180"/>
            <x v="181"/>
            <x v="182"/>
            <x v="183"/>
            <x v="184"/>
            <x v="185"/>
            <x v="186"/>
          </reference>
        </references>
      </pivotArea>
    </format>
    <format dxfId="39">
      <pivotArea dataOnly="0" labelOnly="1" grandRow="1" outline="0" fieldPosition="0"/>
    </format>
    <format dxfId="38">
      <pivotArea dataOnly="0" labelOnly="1" outline="0" fieldPosition="0">
        <references count="1">
          <reference field="4294967294" count="2">
            <x v="0"/>
            <x v="1"/>
          </reference>
        </references>
      </pivotArea>
    </format>
  </formats>
  <conditionalFormats count="6">
    <conditionalFormat priority="11">
      <pivotAreas count="1">
        <pivotArea type="data" collapsedLevelsAreSubtotals="1" fieldPosition="0">
          <references count="2">
            <reference field="4294967294" count="1" selected="0">
              <x v="1"/>
            </reference>
            <reference field="0" count="187">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reference>
          </references>
        </pivotArea>
      </pivotAreas>
    </conditionalFormat>
    <conditionalFormat priority="10">
      <pivotAreas count="1">
        <pivotArea type="data" collapsedLevelsAreSubtotals="1" fieldPosition="0">
          <references count="2">
            <reference field="4294967294" count="1" selected="0">
              <x v="1"/>
            </reference>
            <reference field="0" count="187">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reference>
          </references>
        </pivotArea>
      </pivotAreas>
    </conditionalFormat>
    <conditionalFormat priority="9">
      <pivotAreas count="1">
        <pivotArea type="data" collapsedLevelsAreSubtotals="1" fieldPosition="0">
          <references count="2">
            <reference field="4294967294" count="1" selected="0">
              <x v="1"/>
            </reference>
            <reference field="0" count="187">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reference>
          </references>
        </pivotArea>
      </pivotAreas>
    </conditionalFormat>
    <conditionalFormat priority="8">
      <pivotAreas count="1">
        <pivotArea type="data" collapsedLevelsAreSubtotals="1" fieldPosition="0">
          <references count="2">
            <reference field="4294967294" count="1" selected="0">
              <x v="0"/>
            </reference>
            <reference field="0" count="187">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reference>
          </references>
        </pivotArea>
      </pivotAreas>
    </conditionalFormat>
    <conditionalFormat priority="7">
      <pivotAreas count="1">
        <pivotArea type="data" collapsedLevelsAreSubtotals="1" fieldPosition="0">
          <references count="2">
            <reference field="4294967294" count="1" selected="0">
              <x v="0"/>
            </reference>
            <reference field="0" count="187">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reference>
          </references>
        </pivotArea>
      </pivotAreas>
    </conditionalFormat>
    <conditionalFormat priority="6">
      <pivotAreas count="1">
        <pivotArea type="data" collapsedLevelsAreSubtotals="1" fieldPosition="0">
          <references count="2">
            <reference field="4294967294" count="1" selected="0">
              <x v="0"/>
            </reference>
            <reference field="0" count="187">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FD0C87-B0C1-44D2-BFC6-A06844AF284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
  <location ref="A1:D11" firstHeaderRow="0" firstDataRow="1" firstDataCol="1"/>
  <pivotFields count="15">
    <pivotField showAll="0">
      <items count="188">
        <item x="50"/>
        <item x="95"/>
        <item x="56"/>
        <item x="144"/>
        <item x="142"/>
        <item x="172"/>
        <item x="19"/>
        <item x="49"/>
        <item x="70"/>
        <item x="62"/>
        <item x="55"/>
        <item x="157"/>
        <item x="48"/>
        <item x="16"/>
        <item x="170"/>
        <item x="32"/>
        <item x="34"/>
        <item x="176"/>
        <item x="127"/>
        <item x="171"/>
        <item x="31"/>
        <item x="78"/>
        <item x="148"/>
        <item x="1"/>
        <item x="167"/>
        <item x="76"/>
        <item x="140"/>
        <item x="158"/>
        <item x="115"/>
        <item x="165"/>
        <item x="65"/>
        <item x="20"/>
        <item x="96"/>
        <item x="143"/>
        <item x="7"/>
        <item x="25"/>
        <item x="13"/>
        <item x="159"/>
        <item x="106"/>
        <item x="84"/>
        <item x="67"/>
        <item x="68"/>
        <item x="94"/>
        <item x="113"/>
        <item x="141"/>
        <item x="69"/>
        <item x="74"/>
        <item x="93"/>
        <item x="182"/>
        <item x="36"/>
        <item x="28"/>
        <item x="24"/>
        <item x="71"/>
        <item x="108"/>
        <item x="164"/>
        <item x="120"/>
        <item x="116"/>
        <item x="72"/>
        <item x="177"/>
        <item x="86"/>
        <item x="17"/>
        <item x="89"/>
        <item x="162"/>
        <item x="137"/>
        <item x="18"/>
        <item x="52"/>
        <item x="100"/>
        <item x="184"/>
        <item x="180"/>
        <item x="44"/>
        <item x="90"/>
        <item x="122"/>
        <item x="156"/>
        <item x="87"/>
        <item x="185"/>
        <item x="47"/>
        <item x="99"/>
        <item x="124"/>
        <item x="2"/>
        <item x="23"/>
        <item x="9"/>
        <item x="21"/>
        <item x="57"/>
        <item x="37"/>
        <item x="14"/>
        <item x="147"/>
        <item x="54"/>
        <item x="135"/>
        <item x="26"/>
        <item x="64"/>
        <item x="85"/>
        <item x="35"/>
        <item x="53"/>
        <item x="181"/>
        <item x="133"/>
        <item x="101"/>
        <item x="153"/>
        <item x="136"/>
        <item x="110"/>
        <item x="173"/>
        <item x="121"/>
        <item x="91"/>
        <item x="81"/>
        <item x="102"/>
        <item x="83"/>
        <item x="104"/>
        <item x="114"/>
        <item x="149"/>
        <item x="92"/>
        <item x="161"/>
        <item x="5"/>
        <item x="59"/>
        <item x="168"/>
        <item x="163"/>
        <item x="109"/>
        <item x="61"/>
        <item x="128"/>
        <item x="160"/>
        <item x="125"/>
        <item x="63"/>
        <item x="40"/>
        <item x="130"/>
        <item x="103"/>
        <item x="138"/>
        <item x="46"/>
        <item x="79"/>
        <item x="82"/>
        <item x="30"/>
        <item x="10"/>
        <item x="38"/>
        <item x="174"/>
        <item x="98"/>
        <item x="6"/>
        <item x="27"/>
        <item x="45"/>
        <item x="42"/>
        <item x="22"/>
        <item x="43"/>
        <item x="3"/>
        <item x="123"/>
        <item x="183"/>
        <item x="178"/>
        <item x="175"/>
        <item x="150"/>
        <item x="146"/>
        <item x="12"/>
        <item x="80"/>
        <item x="58"/>
        <item x="169"/>
        <item x="126"/>
        <item x="41"/>
        <item x="118"/>
        <item x="119"/>
        <item x="107"/>
        <item x="4"/>
        <item x="73"/>
        <item x="117"/>
        <item x="11"/>
        <item x="111"/>
        <item x="75"/>
        <item x="131"/>
        <item x="29"/>
        <item x="51"/>
        <item x="151"/>
        <item x="154"/>
        <item x="88"/>
        <item x="152"/>
        <item x="105"/>
        <item x="179"/>
        <item x="145"/>
        <item x="166"/>
        <item x="132"/>
        <item x="15"/>
        <item x="139"/>
        <item x="33"/>
        <item x="39"/>
        <item x="8"/>
        <item x="134"/>
        <item x="0"/>
        <item x="60"/>
        <item x="66"/>
        <item x="155"/>
        <item x="77"/>
        <item x="186"/>
        <item x="129"/>
        <item x="97"/>
        <item x="112"/>
        <item t="default"/>
      </items>
    </pivotField>
    <pivotField dataField="1" showAll="0"/>
    <pivotField dataField="1" showAll="0"/>
    <pivotField dataField="1" showAll="0"/>
    <pivotField showAll="0"/>
    <pivotField showAll="0"/>
    <pivotField showAll="0"/>
    <pivotField numFmtId="164" showAll="0">
      <items count="58">
        <item x="18"/>
        <item x="12"/>
        <item x="37"/>
        <item x="34"/>
        <item x="39"/>
        <item x="0"/>
        <item x="28"/>
        <item x="14"/>
        <item x="13"/>
        <item x="27"/>
        <item x="2"/>
        <item x="3"/>
        <item x="23"/>
        <item x="17"/>
        <item x="8"/>
        <item x="25"/>
        <item x="15"/>
        <item x="21"/>
        <item x="31"/>
        <item x="1"/>
        <item x="16"/>
        <item x="5"/>
        <item x="20"/>
        <item x="24"/>
        <item x="9"/>
        <item x="7"/>
        <item x="29"/>
        <item x="4"/>
        <item x="6"/>
        <item x="35"/>
        <item x="11"/>
        <item x="26"/>
        <item x="22"/>
        <item x="10"/>
        <item x="32"/>
        <item x="19"/>
        <item x="42"/>
        <item x="36"/>
        <item x="44"/>
        <item x="30"/>
        <item x="33"/>
        <item x="38"/>
        <item x="40"/>
        <item x="46"/>
        <item x="50"/>
        <item x="55"/>
        <item x="45"/>
        <item x="47"/>
        <item x="53"/>
        <item x="49"/>
        <item x="43"/>
        <item x="56"/>
        <item x="48"/>
        <item x="52"/>
        <item x="51"/>
        <item x="41"/>
        <item x="54"/>
        <item t="default"/>
      </items>
    </pivotField>
    <pivotField numFmtId="10" showAll="0"/>
    <pivotField numFmtId="10"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x="2"/>
        <item sd="0" x="3"/>
        <item x="4"/>
        <item sd="0" x="5"/>
        <item t="default"/>
      </items>
    </pivotField>
    <pivotField axis="axisRow" showAll="0">
      <items count="5">
        <item x="0"/>
        <item x="1"/>
        <item x="2"/>
        <item x="3"/>
        <item t="default"/>
      </items>
    </pivotField>
  </pivotFields>
  <rowFields count="2">
    <field x="14"/>
    <field x="12"/>
  </rowFields>
  <rowItems count="10">
    <i>
      <x v="1"/>
    </i>
    <i r="1">
      <x v="11"/>
    </i>
    <i r="1">
      <x v="12"/>
    </i>
    <i>
      <x v="2"/>
    </i>
    <i r="1">
      <x v="1"/>
    </i>
    <i r="1">
      <x v="2"/>
    </i>
    <i r="1">
      <x v="3"/>
    </i>
    <i r="1">
      <x v="4"/>
    </i>
    <i r="1">
      <x v="5"/>
    </i>
    <i t="grand">
      <x/>
    </i>
  </rowItems>
  <colFields count="1">
    <field x="-2"/>
  </colFields>
  <colItems count="3">
    <i>
      <x/>
    </i>
    <i i="1">
      <x v="1"/>
    </i>
    <i i="2">
      <x v="2"/>
    </i>
  </colItems>
  <dataFields count="3">
    <dataField name="Sum of Confirmed" fld="1" baseField="0" baseItem="0"/>
    <dataField name="Sum of Deaths" fld="2" baseField="0" baseItem="0"/>
    <dataField name="Sum of Recovered" fld="3"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575FC9-F07E-4FAF-86BA-6CDA70AE0EC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F1:G8" firstHeaderRow="1" firstDataRow="1" firstDataCol="1"/>
  <pivotFields count="15">
    <pivotField showAll="0">
      <items count="188">
        <item x="50"/>
        <item x="95"/>
        <item x="56"/>
        <item x="144"/>
        <item x="142"/>
        <item x="172"/>
        <item x="19"/>
        <item x="49"/>
        <item x="70"/>
        <item x="62"/>
        <item x="55"/>
        <item x="157"/>
        <item x="48"/>
        <item x="16"/>
        <item x="170"/>
        <item x="32"/>
        <item x="34"/>
        <item x="176"/>
        <item x="127"/>
        <item x="171"/>
        <item x="31"/>
        <item x="78"/>
        <item x="148"/>
        <item x="1"/>
        <item x="167"/>
        <item x="76"/>
        <item x="140"/>
        <item x="158"/>
        <item x="115"/>
        <item x="165"/>
        <item x="65"/>
        <item x="20"/>
        <item x="96"/>
        <item x="143"/>
        <item x="7"/>
        <item x="25"/>
        <item x="13"/>
        <item x="159"/>
        <item x="106"/>
        <item x="84"/>
        <item x="67"/>
        <item x="68"/>
        <item x="94"/>
        <item x="113"/>
        <item x="141"/>
        <item x="69"/>
        <item x="74"/>
        <item x="93"/>
        <item x="182"/>
        <item x="36"/>
        <item x="28"/>
        <item x="24"/>
        <item x="71"/>
        <item x="108"/>
        <item x="164"/>
        <item x="120"/>
        <item x="116"/>
        <item x="72"/>
        <item x="177"/>
        <item x="86"/>
        <item x="17"/>
        <item x="89"/>
        <item x="162"/>
        <item x="137"/>
        <item x="18"/>
        <item x="52"/>
        <item x="100"/>
        <item x="184"/>
        <item x="180"/>
        <item x="44"/>
        <item x="90"/>
        <item x="122"/>
        <item x="156"/>
        <item x="87"/>
        <item x="185"/>
        <item x="47"/>
        <item x="99"/>
        <item x="124"/>
        <item x="2"/>
        <item x="23"/>
        <item x="9"/>
        <item x="21"/>
        <item x="57"/>
        <item x="37"/>
        <item x="14"/>
        <item x="147"/>
        <item x="54"/>
        <item x="135"/>
        <item x="26"/>
        <item x="64"/>
        <item x="85"/>
        <item x="35"/>
        <item x="53"/>
        <item x="181"/>
        <item x="133"/>
        <item x="101"/>
        <item x="153"/>
        <item x="136"/>
        <item x="110"/>
        <item x="173"/>
        <item x="121"/>
        <item x="91"/>
        <item x="81"/>
        <item x="102"/>
        <item x="83"/>
        <item x="104"/>
        <item x="114"/>
        <item x="149"/>
        <item x="92"/>
        <item x="161"/>
        <item x="5"/>
        <item x="59"/>
        <item x="168"/>
        <item x="163"/>
        <item x="109"/>
        <item x="61"/>
        <item x="128"/>
        <item x="160"/>
        <item x="125"/>
        <item x="63"/>
        <item x="40"/>
        <item x="130"/>
        <item x="103"/>
        <item x="138"/>
        <item x="46"/>
        <item x="79"/>
        <item x="82"/>
        <item x="30"/>
        <item x="10"/>
        <item x="38"/>
        <item x="174"/>
        <item x="98"/>
        <item x="6"/>
        <item x="27"/>
        <item x="45"/>
        <item x="42"/>
        <item x="22"/>
        <item x="43"/>
        <item x="3"/>
        <item x="123"/>
        <item x="183"/>
        <item x="178"/>
        <item x="175"/>
        <item x="150"/>
        <item x="146"/>
        <item x="12"/>
        <item x="80"/>
        <item x="58"/>
        <item x="169"/>
        <item x="126"/>
        <item x="41"/>
        <item x="118"/>
        <item x="119"/>
        <item x="107"/>
        <item x="4"/>
        <item x="73"/>
        <item x="117"/>
        <item x="11"/>
        <item x="111"/>
        <item x="75"/>
        <item x="131"/>
        <item x="29"/>
        <item x="51"/>
        <item x="151"/>
        <item x="154"/>
        <item x="88"/>
        <item x="152"/>
        <item x="105"/>
        <item x="179"/>
        <item x="145"/>
        <item x="166"/>
        <item x="132"/>
        <item x="15"/>
        <item x="139"/>
        <item x="33"/>
        <item x="39"/>
        <item x="8"/>
        <item x="134"/>
        <item x="0"/>
        <item x="60"/>
        <item x="66"/>
        <item x="155"/>
        <item x="77"/>
        <item x="186"/>
        <item x="129"/>
        <item x="97"/>
        <item x="112"/>
        <item t="default"/>
      </items>
    </pivotField>
    <pivotField dataField="1" showAll="0"/>
    <pivotField showAll="0"/>
    <pivotField showAll="0"/>
    <pivotField showAll="0"/>
    <pivotField showAll="0"/>
    <pivotField axis="axisRow" showAll="0">
      <items count="7">
        <item x="4"/>
        <item x="2"/>
        <item x="5"/>
        <item x="3"/>
        <item x="0"/>
        <item x="1"/>
        <item t="default"/>
      </items>
    </pivotField>
    <pivotField numFmtId="164" showAll="0">
      <items count="58">
        <item x="18"/>
        <item x="12"/>
        <item x="37"/>
        <item x="34"/>
        <item x="39"/>
        <item x="0"/>
        <item x="28"/>
        <item x="14"/>
        <item x="13"/>
        <item x="27"/>
        <item x="2"/>
        <item x="3"/>
        <item x="23"/>
        <item x="17"/>
        <item x="8"/>
        <item x="25"/>
        <item x="15"/>
        <item x="21"/>
        <item x="31"/>
        <item x="1"/>
        <item x="16"/>
        <item x="5"/>
        <item x="20"/>
        <item x="24"/>
        <item x="9"/>
        <item x="7"/>
        <item x="29"/>
        <item x="4"/>
        <item x="6"/>
        <item x="35"/>
        <item x="11"/>
        <item x="26"/>
        <item x="22"/>
        <item x="10"/>
        <item x="32"/>
        <item x="19"/>
        <item x="42"/>
        <item x="36"/>
        <item x="44"/>
        <item x="30"/>
        <item x="33"/>
        <item x="38"/>
        <item x="40"/>
        <item x="46"/>
        <item x="50"/>
        <item x="55"/>
        <item x="45"/>
        <item x="47"/>
        <item x="53"/>
        <item x="49"/>
        <item x="43"/>
        <item x="56"/>
        <item x="48"/>
        <item x="52"/>
        <item x="51"/>
        <item x="41"/>
        <item x="54"/>
        <item t="default"/>
      </items>
    </pivotField>
    <pivotField numFmtId="10" showAll="0"/>
    <pivotField numFmtId="10"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7">
    <i>
      <x/>
    </i>
    <i>
      <x v="1"/>
    </i>
    <i>
      <x v="2"/>
    </i>
    <i>
      <x v="3"/>
    </i>
    <i>
      <x v="4"/>
    </i>
    <i>
      <x v="5"/>
    </i>
    <i t="grand">
      <x/>
    </i>
  </rowItems>
  <colItems count="1">
    <i/>
  </colItems>
  <dataFields count="1">
    <dataField name="Sum of Confirmed" fld="1" showDataAs="percentOfTotal" baseField="6" baseItem="2" numFmtId="10"/>
  </dataFields>
  <chartFormats count="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6" count="1" selected="0">
            <x v="0"/>
          </reference>
        </references>
      </pivotArea>
    </chartFormat>
    <chartFormat chart="3" format="2">
      <pivotArea type="data" outline="0" fieldPosition="0">
        <references count="2">
          <reference field="4294967294" count="1" selected="0">
            <x v="0"/>
          </reference>
          <reference field="6" count="1" selected="0">
            <x v="1"/>
          </reference>
        </references>
      </pivotArea>
    </chartFormat>
    <chartFormat chart="3" format="3">
      <pivotArea type="data" outline="0" fieldPosition="0">
        <references count="2">
          <reference field="4294967294" count="1" selected="0">
            <x v="0"/>
          </reference>
          <reference field="6" count="1" selected="0">
            <x v="2"/>
          </reference>
        </references>
      </pivotArea>
    </chartFormat>
    <chartFormat chart="3" format="4">
      <pivotArea type="data" outline="0" fieldPosition="0">
        <references count="2">
          <reference field="4294967294" count="1" selected="0">
            <x v="0"/>
          </reference>
          <reference field="6" count="1" selected="0">
            <x v="3"/>
          </reference>
        </references>
      </pivotArea>
    </chartFormat>
    <chartFormat chart="3" format="5">
      <pivotArea type="data" outline="0" fieldPosition="0">
        <references count="2">
          <reference field="4294967294" count="1" selected="0">
            <x v="0"/>
          </reference>
          <reference field="6" count="1" selected="0">
            <x v="4"/>
          </reference>
        </references>
      </pivotArea>
    </chartFormat>
    <chartFormat chart="3" format="6">
      <pivotArea type="data" outline="0" fieldPosition="0">
        <references count="2">
          <reference field="4294967294" count="1" selected="0">
            <x v="0"/>
          </reference>
          <reference field="6" count="1" selected="0">
            <x v="5"/>
          </reference>
        </references>
      </pivotArea>
    </chartFormat>
    <chartFormat chart="1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Factor" xr10:uid="{2D57216F-73B5-4290-BFF8-D7899FA399A9}" sourceName="Risk Factor">
  <pivotTables>
    <pivotTable tabId="4" name="PivotTable1"/>
    <pivotTable tabId="4" name="PivotTable2"/>
    <pivotTable tabId="4" name="PivotTable3"/>
  </pivotTables>
  <data>
    <tabular pivotCacheId="1698932605">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inent" xr10:uid="{6313E42C-BCDB-4D25-BC4A-687F17F1A455}" sourceName="Continent">
  <pivotTables>
    <pivotTable tabId="4" name="PivotTable1"/>
    <pivotTable tabId="4" name="PivotTable2"/>
    <pivotTable tabId="4" name="PivotTable3"/>
  </pivotTables>
  <data>
    <tabular pivotCacheId="1698932605">
      <items count="6">
        <i x="4" s="1"/>
        <i x="2" s="1"/>
        <i x="5"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isk Factor" xr10:uid="{575D95A1-082A-4CE6-B123-518A0977E920}" cache="Slicer_Risk_Factor" caption="Risk Factor" style="SlicerStyleLight5" rowHeight="247650"/>
  <slicer name="Continent" xr10:uid="{16FCEDA5-66D5-4200-96C9-FFE761D4F4E0}" cache="Slicer_Continent" caption="Continent" columnCount="2" style="SlicerStyleLight5"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1AC08F-9CCA-4850-B786-417D966865F3}" name="Table1" displayName="Table1" ref="A1:L189" totalsRowCount="1" headerRowDxfId="24" tableBorderDxfId="23">
  <autoFilter ref="A1:L188" xr:uid="{2A1AC08F-9CCA-4850-B786-417D966865F3}"/>
  <sortState xmlns:xlrd2="http://schemas.microsoft.com/office/spreadsheetml/2017/richdata2" ref="A2:L188">
    <sortCondition descending="1" ref="B2:B188"/>
  </sortState>
  <tableColumns count="12">
    <tableColumn id="1" xr3:uid="{B86E5CD0-FF93-49EE-83F2-77B998125D70}" name="Country/Region" dataDxfId="22" totalsRowDxfId="21"/>
    <tableColumn id="2" xr3:uid="{16F798E9-2275-4A20-8307-49DD8B96605A}" name="Confirmed" dataDxfId="20" totalsRowDxfId="19"/>
    <tableColumn id="3" xr3:uid="{75CCE09F-6747-48B9-95F7-07759914FA40}" name="Deaths" dataDxfId="18" totalsRowDxfId="17"/>
    <tableColumn id="4" xr3:uid="{5DFC3C11-0AD2-4A02-B2A6-90808301A964}" name="Recovered" dataDxfId="16" totalsRowDxfId="15"/>
    <tableColumn id="5" xr3:uid="{8DE15EF0-8416-4E3C-B4FB-F190F91F78A1}" name="Active" dataDxfId="14" totalsRowDxfId="13"/>
    <tableColumn id="6" xr3:uid="{6B3C4837-D1B4-42A3-AF23-6B92F5E88997}" name="Population" totalsRowDxfId="12"/>
    <tableColumn id="7" xr3:uid="{E92D0E3A-E7FC-4DF2-A680-E2E0FACBBC4B}" name="Continent" dataDxfId="11" totalsRowDxfId="10"/>
    <tableColumn id="8" xr3:uid="{59CD3BB5-F66F-476D-8903-DAE0293FA747}" name="Date of First Case" dataDxfId="9" totalsRowDxfId="8"/>
    <tableColumn id="9" xr3:uid="{EA73419E-69EE-41F3-B2DA-0384F2BA93AF}" name="Death Rate" dataDxfId="7" totalsRowDxfId="6">
      <calculatedColumnFormula>C2/B2</calculatedColumnFormula>
    </tableColumn>
    <tableColumn id="10" xr3:uid="{265907CB-BEA3-45C9-9172-D1F0F6445266}" name="Recovery Rate" dataDxfId="5" totalsRowDxfId="4">
      <calculatedColumnFormula>D2/B2</calculatedColumnFormula>
    </tableColumn>
    <tableColumn id="11" xr3:uid="{6133CD60-043E-427C-91B7-9391BDD7ED0E}" name="Infection Rate" dataDxfId="3" totalsRowDxfId="2">
      <calculatedColumnFormula>B2/F2</calculatedColumnFormula>
    </tableColumn>
    <tableColumn id="12" xr3:uid="{977098AF-CD5B-42CC-A4A4-C303F20FD89D}" name="Risk Factor" dataDxfId="1" totalsRowDxfId="0">
      <calculatedColumnFormula array="1">_xlfn.IFS(I2&gt;5%,"High Risk",I2&lt;2%,"Low Risk",I2&gt;=2%,"Moderate Risk")</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7AD4217-02A2-4305-8F2F-FF8D90712C7D}" name="Table3" displayName="Table3" ref="A1:C17" totalsRowShown="0">
  <autoFilter ref="A1:C17" xr:uid="{27AD4217-02A2-4305-8F2F-FF8D90712C7D}"/>
  <tableColumns count="3">
    <tableColumn id="1" xr3:uid="{BBC54288-8250-43F3-BE37-FDA323EB39A7}" name="Country/Region"/>
    <tableColumn id="2" xr3:uid="{D21F6648-77C1-470D-B135-34F80A8E34C7}" name="Population"/>
    <tableColumn id="3" xr3:uid="{9168736A-F9D5-4CCE-A5EB-CB669B53E4DD}" name="Contin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_of_First_Case" xr10:uid="{7FE31164-DB92-4D80-B213-A9C4EA698098}" sourceName="Date of First Case">
  <pivotTables>
    <pivotTable tabId="4" name="PivotTable1"/>
    <pivotTable tabId="4" name="PivotTable2"/>
    <pivotTable tabId="4" name="PivotTable3"/>
  </pivotTables>
  <state minimalRefreshVersion="6" lastRefreshVersion="6" pivotCacheId="1698932605" filterType="unknown">
    <bounds startDate="2019-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of First Case" xr10:uid="{3856606C-B613-43B7-B063-7602A27718EF}" cache="NativeTimeline_Date_of_First_Case" caption="Date of First Case" level="2" selectionLevel="2" scrollPosition="2019-01-01T00:00:00" style="TimeSlicerStyleLight5"/>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11/relationships/timeline" Target="../timelines/timelin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EE241-DCC2-4BC4-B0C5-913D7A126DFD}">
  <dimension ref="A1:AL211"/>
  <sheetViews>
    <sheetView showGridLines="0" zoomScale="53" zoomScaleNormal="53" workbookViewId="0">
      <selection activeCell="AB1" sqref="AB1"/>
    </sheetView>
  </sheetViews>
  <sheetFormatPr defaultRowHeight="14.4" x14ac:dyDescent="0.3"/>
  <cols>
    <col min="1" max="1" width="41.6640625" bestFit="1" customWidth="1"/>
    <col min="2" max="2" width="21.109375" bestFit="1" customWidth="1"/>
    <col min="3" max="3" width="29" bestFit="1" customWidth="1"/>
  </cols>
  <sheetData>
    <row r="1" spans="1:38" ht="47.4" x14ac:dyDescent="0.9">
      <c r="A1" s="39"/>
      <c r="B1" s="39"/>
      <c r="C1" s="39"/>
      <c r="D1" s="39"/>
      <c r="E1" s="39"/>
      <c r="F1" s="39"/>
      <c r="G1" s="39"/>
      <c r="H1" s="39"/>
      <c r="I1" s="39"/>
      <c r="J1" s="39"/>
      <c r="K1" s="39"/>
      <c r="L1" s="39" t="s">
        <v>213</v>
      </c>
      <c r="M1" s="39"/>
      <c r="N1" s="39"/>
      <c r="O1" s="39"/>
      <c r="P1" s="39"/>
      <c r="Q1" s="39"/>
      <c r="R1" s="39"/>
      <c r="S1" s="39"/>
      <c r="T1" s="39"/>
      <c r="U1" s="39"/>
      <c r="V1" s="39"/>
      <c r="W1" s="39"/>
      <c r="X1" s="40"/>
      <c r="Y1" s="40"/>
      <c r="Z1" s="40"/>
      <c r="AA1" s="40"/>
      <c r="AB1" s="40"/>
      <c r="AC1" s="40"/>
      <c r="AD1" s="40"/>
      <c r="AE1" s="40"/>
      <c r="AF1" s="40"/>
      <c r="AG1" s="40"/>
      <c r="AH1" s="40"/>
      <c r="AI1" s="40"/>
      <c r="AJ1" s="40"/>
      <c r="AK1" s="40"/>
      <c r="AL1" s="40"/>
    </row>
    <row r="2" spans="1:38" s="41" customFormat="1" ht="23.4" x14ac:dyDescent="0.45"/>
    <row r="3" spans="1:38" s="41" customFormat="1" ht="23.4" x14ac:dyDescent="0.45"/>
    <row r="4" spans="1:38" s="41" customFormat="1" ht="23.4" x14ac:dyDescent="0.45"/>
    <row r="5" spans="1:38" s="41" customFormat="1" ht="23.4" x14ac:dyDescent="0.45"/>
    <row r="6" spans="1:38" s="41" customFormat="1" ht="23.4" x14ac:dyDescent="0.45"/>
    <row r="7" spans="1:38" s="41" customFormat="1" ht="23.4" x14ac:dyDescent="0.45"/>
    <row r="8" spans="1:38" s="41" customFormat="1" ht="23.4" x14ac:dyDescent="0.45">
      <c r="A8" s="42" t="s">
        <v>207</v>
      </c>
      <c r="B8" s="41" t="s">
        <v>215</v>
      </c>
      <c r="C8"/>
    </row>
    <row r="9" spans="1:38" s="41" customFormat="1" ht="23.4" x14ac:dyDescent="0.45">
      <c r="A9" s="43" t="s">
        <v>195</v>
      </c>
      <c r="B9" s="44">
        <v>0.72304524050592744</v>
      </c>
      <c r="C9"/>
    </row>
    <row r="10" spans="1:38" ht="23.4" x14ac:dyDescent="0.45">
      <c r="A10" s="43" t="s">
        <v>196</v>
      </c>
      <c r="B10" s="44">
        <v>0.67558647969861008</v>
      </c>
    </row>
    <row r="11" spans="1:38" ht="23.4" x14ac:dyDescent="0.45">
      <c r="A11" s="43" t="s">
        <v>198</v>
      </c>
      <c r="B11" s="44">
        <v>0.6507568698684647</v>
      </c>
    </row>
    <row r="12" spans="1:38" ht="23.4" x14ac:dyDescent="0.45">
      <c r="A12" s="43" t="s">
        <v>200</v>
      </c>
      <c r="B12" s="44">
        <v>0.60622789947817179</v>
      </c>
    </row>
    <row r="13" spans="1:38" ht="23.4" x14ac:dyDescent="0.45">
      <c r="A13" s="43" t="s">
        <v>199</v>
      </c>
      <c r="B13" s="44">
        <v>0.599354487411487</v>
      </c>
    </row>
    <row r="14" spans="1:38" ht="23.4" x14ac:dyDescent="0.45">
      <c r="A14" s="43" t="s">
        <v>197</v>
      </c>
      <c r="B14" s="44">
        <v>0.57312533129432541</v>
      </c>
    </row>
    <row r="15" spans="1:38" ht="23.4" x14ac:dyDescent="0.45">
      <c r="A15" s="43" t="s">
        <v>208</v>
      </c>
      <c r="B15" s="44">
        <v>0.64820336794510736</v>
      </c>
    </row>
    <row r="17" spans="1:3" ht="23.4" x14ac:dyDescent="0.45">
      <c r="A17" s="42" t="s">
        <v>207</v>
      </c>
      <c r="B17" s="41" t="s">
        <v>216</v>
      </c>
    </row>
    <row r="18" spans="1:3" ht="23.4" x14ac:dyDescent="0.45">
      <c r="A18" s="43" t="s">
        <v>209</v>
      </c>
      <c r="B18" s="69">
        <v>29</v>
      </c>
    </row>
    <row r="19" spans="1:3" ht="23.4" x14ac:dyDescent="0.45">
      <c r="A19" s="43" t="s">
        <v>210</v>
      </c>
      <c r="B19" s="69">
        <v>88</v>
      </c>
    </row>
    <row r="20" spans="1:3" ht="23.4" x14ac:dyDescent="0.45">
      <c r="A20" s="43" t="s">
        <v>211</v>
      </c>
      <c r="B20" s="69">
        <v>70</v>
      </c>
    </row>
    <row r="21" spans="1:3" ht="23.4" x14ac:dyDescent="0.45">
      <c r="A21" s="43" t="s">
        <v>208</v>
      </c>
      <c r="B21" s="70">
        <v>187</v>
      </c>
    </row>
    <row r="23" spans="1:3" ht="21" x14ac:dyDescent="0.4">
      <c r="A23" s="45" t="s">
        <v>207</v>
      </c>
      <c r="B23" s="46" t="s">
        <v>218</v>
      </c>
      <c r="C23" s="46" t="s">
        <v>217</v>
      </c>
    </row>
    <row r="24" spans="1:3" ht="21" x14ac:dyDescent="0.4">
      <c r="A24" s="47" t="s">
        <v>5</v>
      </c>
      <c r="B24" s="71">
        <v>39009447</v>
      </c>
      <c r="C24" s="71">
        <v>36263</v>
      </c>
    </row>
    <row r="25" spans="1:3" ht="21" x14ac:dyDescent="0.4">
      <c r="A25" s="47" t="s">
        <v>6</v>
      </c>
      <c r="B25" s="71">
        <v>2877470</v>
      </c>
      <c r="C25" s="71">
        <v>4880</v>
      </c>
    </row>
    <row r="26" spans="1:3" ht="21" x14ac:dyDescent="0.4">
      <c r="A26" s="47" t="s">
        <v>7</v>
      </c>
      <c r="B26" s="71">
        <v>43926079</v>
      </c>
      <c r="C26" s="71">
        <v>27973</v>
      </c>
    </row>
    <row r="27" spans="1:3" ht="21" x14ac:dyDescent="0.4">
      <c r="A27" s="47" t="s">
        <v>8</v>
      </c>
      <c r="B27" s="71">
        <v>77278</v>
      </c>
      <c r="C27" s="71">
        <v>907</v>
      </c>
    </row>
    <row r="28" spans="1:3" ht="21" x14ac:dyDescent="0.4">
      <c r="A28" s="47" t="s">
        <v>9</v>
      </c>
      <c r="B28" s="71">
        <v>32956300</v>
      </c>
      <c r="C28" s="71">
        <v>950</v>
      </c>
    </row>
    <row r="29" spans="1:3" ht="21" x14ac:dyDescent="0.4">
      <c r="A29" s="47" t="s">
        <v>10</v>
      </c>
      <c r="B29" s="71">
        <v>98010</v>
      </c>
      <c r="C29" s="71">
        <v>86</v>
      </c>
    </row>
    <row r="30" spans="1:3" ht="21" x14ac:dyDescent="0.4">
      <c r="A30" s="47" t="s">
        <v>11</v>
      </c>
      <c r="B30" s="71">
        <v>45236884</v>
      </c>
      <c r="C30" s="71">
        <v>167416</v>
      </c>
    </row>
    <row r="31" spans="1:3" ht="21" x14ac:dyDescent="0.4">
      <c r="A31" s="47" t="s">
        <v>12</v>
      </c>
      <c r="B31" s="71">
        <v>2963811</v>
      </c>
      <c r="C31" s="71">
        <v>37390</v>
      </c>
    </row>
    <row r="32" spans="1:3" ht="21" x14ac:dyDescent="0.4">
      <c r="A32" s="47" t="s">
        <v>13</v>
      </c>
      <c r="B32" s="71">
        <v>25528864</v>
      </c>
      <c r="C32" s="71">
        <v>15303</v>
      </c>
    </row>
    <row r="33" spans="1:3" ht="21" x14ac:dyDescent="0.4">
      <c r="A33" s="47" t="s">
        <v>14</v>
      </c>
      <c r="B33" s="71">
        <v>9011577</v>
      </c>
      <c r="C33" s="71">
        <v>20558</v>
      </c>
    </row>
    <row r="34" spans="1:3" ht="21" x14ac:dyDescent="0.4">
      <c r="A34" s="47" t="s">
        <v>15</v>
      </c>
      <c r="B34" s="71">
        <v>10148243</v>
      </c>
      <c r="C34" s="71">
        <v>30446</v>
      </c>
    </row>
    <row r="35" spans="1:3" ht="21" x14ac:dyDescent="0.4">
      <c r="A35" s="47" t="s">
        <v>16</v>
      </c>
      <c r="B35" s="71">
        <v>393616</v>
      </c>
      <c r="C35" s="71">
        <v>382</v>
      </c>
    </row>
    <row r="36" spans="1:3" ht="21" x14ac:dyDescent="0.4">
      <c r="A36" s="47" t="s">
        <v>17</v>
      </c>
      <c r="B36" s="71">
        <v>1706669</v>
      </c>
      <c r="C36" s="71">
        <v>39482</v>
      </c>
    </row>
    <row r="37" spans="1:3" ht="21" x14ac:dyDescent="0.4">
      <c r="A37" s="47" t="s">
        <v>18</v>
      </c>
      <c r="B37" s="71">
        <v>164851401</v>
      </c>
      <c r="C37" s="71">
        <v>226225</v>
      </c>
    </row>
    <row r="38" spans="1:3" ht="21" x14ac:dyDescent="0.4">
      <c r="A38" s="47" t="s">
        <v>19</v>
      </c>
      <c r="B38" s="71">
        <v>287411</v>
      </c>
      <c r="C38" s="71">
        <v>110</v>
      </c>
    </row>
    <row r="39" spans="1:3" ht="21" x14ac:dyDescent="0.4">
      <c r="A39" s="47" t="s">
        <v>20</v>
      </c>
      <c r="B39" s="71">
        <v>9449001</v>
      </c>
      <c r="C39" s="71">
        <v>67251</v>
      </c>
    </row>
    <row r="40" spans="1:3" ht="21" x14ac:dyDescent="0.4">
      <c r="A40" s="47" t="s">
        <v>21</v>
      </c>
      <c r="B40" s="71">
        <v>11594739</v>
      </c>
      <c r="C40" s="71">
        <v>66428</v>
      </c>
    </row>
    <row r="41" spans="1:3" ht="21" x14ac:dyDescent="0.4">
      <c r="A41" s="47" t="s">
        <v>22</v>
      </c>
      <c r="B41" s="71">
        <v>398312</v>
      </c>
      <c r="C41" s="71">
        <v>48</v>
      </c>
    </row>
    <row r="42" spans="1:3" ht="21" x14ac:dyDescent="0.4">
      <c r="A42" s="47" t="s">
        <v>23</v>
      </c>
      <c r="B42" s="71">
        <v>12151976</v>
      </c>
      <c r="C42" s="71">
        <v>1770</v>
      </c>
    </row>
    <row r="43" spans="1:3" ht="21" x14ac:dyDescent="0.4">
      <c r="A43" s="47" t="s">
        <v>24</v>
      </c>
      <c r="B43" s="71">
        <v>772443</v>
      </c>
      <c r="C43" s="71">
        <v>99</v>
      </c>
    </row>
    <row r="44" spans="1:3" ht="21" x14ac:dyDescent="0.4">
      <c r="A44" s="47" t="s">
        <v>25</v>
      </c>
      <c r="B44" s="71">
        <v>11688459</v>
      </c>
      <c r="C44" s="71">
        <v>71181</v>
      </c>
    </row>
    <row r="45" spans="1:3" ht="21" x14ac:dyDescent="0.4">
      <c r="A45" s="47" t="s">
        <v>26</v>
      </c>
      <c r="B45" s="71">
        <v>3278650</v>
      </c>
      <c r="C45" s="71">
        <v>10498</v>
      </c>
    </row>
    <row r="46" spans="1:3" ht="21" x14ac:dyDescent="0.4">
      <c r="A46" s="47" t="s">
        <v>27</v>
      </c>
      <c r="B46" s="71">
        <v>2356075</v>
      </c>
      <c r="C46" s="71">
        <v>739</v>
      </c>
    </row>
    <row r="47" spans="1:3" ht="21" x14ac:dyDescent="0.4">
      <c r="A47" s="47" t="s">
        <v>28</v>
      </c>
      <c r="B47" s="71">
        <v>212710692</v>
      </c>
      <c r="C47" s="71">
        <v>2442375</v>
      </c>
    </row>
    <row r="48" spans="1:3" ht="21" x14ac:dyDescent="0.4">
      <c r="A48" s="47" t="s">
        <v>29</v>
      </c>
      <c r="B48" s="71">
        <v>437893</v>
      </c>
      <c r="C48" s="71">
        <v>141</v>
      </c>
    </row>
    <row r="49" spans="1:3" ht="21" x14ac:dyDescent="0.4">
      <c r="A49" s="47" t="s">
        <v>30</v>
      </c>
      <c r="B49" s="71">
        <v>6942854</v>
      </c>
      <c r="C49" s="71">
        <v>10621</v>
      </c>
    </row>
    <row r="50" spans="1:3" ht="21" x14ac:dyDescent="0.4">
      <c r="A50" s="47" t="s">
        <v>31</v>
      </c>
      <c r="B50" s="71">
        <v>20954852</v>
      </c>
      <c r="C50" s="71">
        <v>1100</v>
      </c>
    </row>
    <row r="51" spans="1:3" ht="21" x14ac:dyDescent="0.4">
      <c r="A51" s="47" t="s">
        <v>32</v>
      </c>
      <c r="B51" s="71">
        <v>11922216</v>
      </c>
      <c r="C51" s="71">
        <v>378</v>
      </c>
    </row>
    <row r="52" spans="1:3" ht="21" x14ac:dyDescent="0.4">
      <c r="A52" s="47" t="s">
        <v>33</v>
      </c>
      <c r="B52" s="71">
        <v>556581</v>
      </c>
      <c r="C52" s="71">
        <v>2328</v>
      </c>
    </row>
    <row r="53" spans="1:3" ht="21" x14ac:dyDescent="0.4">
      <c r="A53" s="47" t="s">
        <v>34</v>
      </c>
      <c r="B53" s="71">
        <v>16741375</v>
      </c>
      <c r="C53" s="71">
        <v>226</v>
      </c>
    </row>
    <row r="54" spans="1:3" ht="21" x14ac:dyDescent="0.4">
      <c r="A54" s="47" t="s">
        <v>35</v>
      </c>
      <c r="B54" s="71">
        <v>26606188</v>
      </c>
      <c r="C54" s="71">
        <v>17110</v>
      </c>
    </row>
    <row r="55" spans="1:3" ht="21" x14ac:dyDescent="0.4">
      <c r="A55" s="47" t="s">
        <v>36</v>
      </c>
      <c r="B55" s="71">
        <v>37775022</v>
      </c>
      <c r="C55" s="71">
        <v>116458</v>
      </c>
    </row>
    <row r="56" spans="1:3" ht="21" x14ac:dyDescent="0.4">
      <c r="A56" s="47" t="s">
        <v>37</v>
      </c>
      <c r="B56" s="71">
        <v>4837752</v>
      </c>
      <c r="C56" s="71">
        <v>4599</v>
      </c>
    </row>
    <row r="57" spans="1:3" ht="21" x14ac:dyDescent="0.4">
      <c r="A57" s="47" t="s">
        <v>38</v>
      </c>
      <c r="B57" s="71">
        <v>0</v>
      </c>
      <c r="C57" s="71">
        <v>922</v>
      </c>
    </row>
    <row r="58" spans="1:3" ht="21" x14ac:dyDescent="0.4">
      <c r="A58" s="47" t="s">
        <v>39</v>
      </c>
      <c r="B58" s="71">
        <v>19132514</v>
      </c>
      <c r="C58" s="71">
        <v>347923</v>
      </c>
    </row>
    <row r="59" spans="1:3" ht="21" x14ac:dyDescent="0.4">
      <c r="A59" s="47" t="s">
        <v>40</v>
      </c>
      <c r="B59" s="71">
        <v>1411778724</v>
      </c>
      <c r="C59" s="71">
        <v>86783</v>
      </c>
    </row>
    <row r="60" spans="1:3" ht="21" x14ac:dyDescent="0.4">
      <c r="A60" s="47" t="s">
        <v>41</v>
      </c>
      <c r="B60" s="71">
        <v>50936262</v>
      </c>
      <c r="C60" s="71">
        <v>257101</v>
      </c>
    </row>
    <row r="61" spans="1:3" ht="21" x14ac:dyDescent="0.4">
      <c r="A61" s="47" t="s">
        <v>42</v>
      </c>
      <c r="B61" s="71">
        <v>871326</v>
      </c>
      <c r="C61" s="71">
        <v>354</v>
      </c>
    </row>
    <row r="62" spans="1:3" ht="21" x14ac:dyDescent="0.4">
      <c r="A62" s="47" t="s">
        <v>43</v>
      </c>
      <c r="B62" s="71">
        <v>5530506</v>
      </c>
      <c r="C62" s="71">
        <v>3200</v>
      </c>
    </row>
    <row r="63" spans="1:3" ht="21" x14ac:dyDescent="0.4">
      <c r="A63" s="47" t="s">
        <v>44</v>
      </c>
      <c r="B63" s="71">
        <v>96076573</v>
      </c>
      <c r="C63" s="71">
        <v>8844</v>
      </c>
    </row>
    <row r="64" spans="1:3" ht="21" x14ac:dyDescent="0.4">
      <c r="A64" s="47" t="s">
        <v>45</v>
      </c>
      <c r="B64" s="71">
        <v>5098730</v>
      </c>
      <c r="C64" s="71">
        <v>15841</v>
      </c>
    </row>
    <row r="65" spans="1:3" ht="21" x14ac:dyDescent="0.4">
      <c r="A65" s="47" t="s">
        <v>46</v>
      </c>
      <c r="B65" s="71">
        <v>26172000</v>
      </c>
      <c r="C65" s="71">
        <v>15655</v>
      </c>
    </row>
    <row r="66" spans="1:3" ht="21" x14ac:dyDescent="0.4">
      <c r="A66" s="47" t="s">
        <v>47</v>
      </c>
      <c r="B66" s="71">
        <v>4102577</v>
      </c>
      <c r="C66" s="71">
        <v>4881</v>
      </c>
    </row>
    <row r="67" spans="1:3" ht="21" x14ac:dyDescent="0.4">
      <c r="A67" s="47" t="s">
        <v>48</v>
      </c>
      <c r="B67" s="71">
        <v>11325899</v>
      </c>
      <c r="C67" s="71">
        <v>2532</v>
      </c>
    </row>
    <row r="68" spans="1:3" ht="21" x14ac:dyDescent="0.4">
      <c r="A68" s="47" t="s">
        <v>49</v>
      </c>
      <c r="B68" s="71">
        <v>1208238</v>
      </c>
      <c r="C68" s="71">
        <v>1060</v>
      </c>
    </row>
    <row r="69" spans="1:3" ht="21" x14ac:dyDescent="0.4">
      <c r="A69" s="47" t="s">
        <v>50</v>
      </c>
      <c r="B69" s="71">
        <v>10711019</v>
      </c>
      <c r="C69" s="71">
        <v>15516</v>
      </c>
    </row>
    <row r="70" spans="1:3" ht="21" x14ac:dyDescent="0.4">
      <c r="A70" s="47" t="s">
        <v>51</v>
      </c>
      <c r="B70" s="71">
        <v>5794279</v>
      </c>
      <c r="C70" s="71">
        <v>13761</v>
      </c>
    </row>
    <row r="71" spans="1:3" ht="21" x14ac:dyDescent="0.4">
      <c r="A71" s="47" t="s">
        <v>52</v>
      </c>
      <c r="B71" s="71">
        <v>989387</v>
      </c>
      <c r="C71" s="71">
        <v>5059</v>
      </c>
    </row>
    <row r="72" spans="1:3" ht="21" x14ac:dyDescent="0.4">
      <c r="A72" s="47" t="s">
        <v>53</v>
      </c>
      <c r="B72" s="71">
        <v>72004</v>
      </c>
      <c r="C72" s="71">
        <v>18</v>
      </c>
    </row>
    <row r="73" spans="1:3" ht="21" x14ac:dyDescent="0.4">
      <c r="A73" s="47" t="s">
        <v>54</v>
      </c>
      <c r="B73" s="71">
        <v>10858648</v>
      </c>
      <c r="C73" s="71">
        <v>64156</v>
      </c>
    </row>
    <row r="74" spans="1:3" ht="21" x14ac:dyDescent="0.4">
      <c r="A74" s="47" t="s">
        <v>55</v>
      </c>
      <c r="B74" s="71">
        <v>17668824</v>
      </c>
      <c r="C74" s="71">
        <v>81161</v>
      </c>
    </row>
    <row r="75" spans="1:3" ht="21" x14ac:dyDescent="0.4">
      <c r="A75" s="47" t="s">
        <v>56</v>
      </c>
      <c r="B75" s="71">
        <v>102516525</v>
      </c>
      <c r="C75" s="71">
        <v>92482</v>
      </c>
    </row>
    <row r="76" spans="1:3" ht="21" x14ac:dyDescent="0.4">
      <c r="A76" s="47" t="s">
        <v>57</v>
      </c>
      <c r="B76" s="71">
        <v>6489514</v>
      </c>
      <c r="C76" s="71">
        <v>15035</v>
      </c>
    </row>
    <row r="77" spans="1:3" ht="21" x14ac:dyDescent="0.4">
      <c r="A77" s="47" t="s">
        <v>58</v>
      </c>
      <c r="B77" s="71">
        <v>1407001</v>
      </c>
      <c r="C77" s="71">
        <v>3071</v>
      </c>
    </row>
    <row r="78" spans="1:3" ht="21" x14ac:dyDescent="0.4">
      <c r="A78" s="47" t="s">
        <v>59</v>
      </c>
      <c r="B78" s="71">
        <v>3551175</v>
      </c>
      <c r="C78" s="71">
        <v>265</v>
      </c>
    </row>
    <row r="79" spans="1:3" ht="21" x14ac:dyDescent="0.4">
      <c r="A79" s="47" t="s">
        <v>60</v>
      </c>
      <c r="B79" s="71">
        <v>1326627</v>
      </c>
      <c r="C79" s="71">
        <v>2034</v>
      </c>
    </row>
    <row r="80" spans="1:3" ht="21" x14ac:dyDescent="0.4">
      <c r="A80" s="47" t="s">
        <v>61</v>
      </c>
      <c r="B80" s="71">
        <v>1161348</v>
      </c>
      <c r="C80" s="71">
        <v>2316</v>
      </c>
    </row>
    <row r="81" spans="1:3" ht="21" x14ac:dyDescent="0.4">
      <c r="A81" s="47" t="s">
        <v>62</v>
      </c>
      <c r="B81" s="71">
        <v>115223736</v>
      </c>
      <c r="C81" s="71">
        <v>14547</v>
      </c>
    </row>
    <row r="82" spans="1:3" ht="21" x14ac:dyDescent="0.4">
      <c r="A82" s="47" t="s">
        <v>63</v>
      </c>
      <c r="B82" s="71">
        <v>897095</v>
      </c>
      <c r="C82" s="71">
        <v>27</v>
      </c>
    </row>
    <row r="83" spans="1:3" ht="21" x14ac:dyDescent="0.4">
      <c r="A83" s="47" t="s">
        <v>64</v>
      </c>
      <c r="B83" s="71">
        <v>5541604</v>
      </c>
      <c r="C83" s="71">
        <v>7398</v>
      </c>
    </row>
    <row r="84" spans="1:3" ht="21" x14ac:dyDescent="0.4">
      <c r="A84" s="47" t="s">
        <v>65</v>
      </c>
      <c r="B84" s="71">
        <v>65288306</v>
      </c>
      <c r="C84" s="71">
        <v>220352</v>
      </c>
    </row>
    <row r="85" spans="1:3" ht="21" x14ac:dyDescent="0.4">
      <c r="A85" s="47" t="s">
        <v>66</v>
      </c>
      <c r="B85" s="71">
        <v>2230563</v>
      </c>
      <c r="C85" s="71">
        <v>7189</v>
      </c>
    </row>
    <row r="86" spans="1:3" ht="21" x14ac:dyDescent="0.4">
      <c r="A86" s="47" t="s">
        <v>67</v>
      </c>
      <c r="B86" s="71">
        <v>2422754</v>
      </c>
      <c r="C86" s="71">
        <v>326</v>
      </c>
    </row>
    <row r="87" spans="1:3" ht="21" x14ac:dyDescent="0.4">
      <c r="A87" s="47" t="s">
        <v>68</v>
      </c>
      <c r="B87" s="71">
        <v>3988368</v>
      </c>
      <c r="C87" s="71">
        <v>1137</v>
      </c>
    </row>
    <row r="88" spans="1:3" ht="21" x14ac:dyDescent="0.4">
      <c r="A88" s="47" t="s">
        <v>69</v>
      </c>
      <c r="B88" s="71">
        <v>83811260</v>
      </c>
      <c r="C88" s="71">
        <v>207112</v>
      </c>
    </row>
    <row r="89" spans="1:3" ht="21" x14ac:dyDescent="0.4">
      <c r="A89" s="47" t="s">
        <v>70</v>
      </c>
      <c r="B89" s="71">
        <v>31133483</v>
      </c>
      <c r="C89" s="71">
        <v>33624</v>
      </c>
    </row>
    <row r="90" spans="1:3" ht="21" x14ac:dyDescent="0.4">
      <c r="A90" s="47" t="s">
        <v>71</v>
      </c>
      <c r="B90" s="71">
        <v>10417673</v>
      </c>
      <c r="C90" s="71">
        <v>4227</v>
      </c>
    </row>
    <row r="91" spans="1:3" ht="21" x14ac:dyDescent="0.4">
      <c r="A91" s="47" t="s">
        <v>72</v>
      </c>
      <c r="B91" s="71">
        <v>56780</v>
      </c>
      <c r="C91" s="71">
        <v>14</v>
      </c>
    </row>
    <row r="92" spans="1:3" ht="21" x14ac:dyDescent="0.4">
      <c r="A92" s="47" t="s">
        <v>73</v>
      </c>
      <c r="B92" s="71">
        <v>112576</v>
      </c>
      <c r="C92" s="71">
        <v>23</v>
      </c>
    </row>
    <row r="93" spans="1:3" ht="21" x14ac:dyDescent="0.4">
      <c r="A93" s="47" t="s">
        <v>74</v>
      </c>
      <c r="B93" s="71">
        <v>17946899</v>
      </c>
      <c r="C93" s="71">
        <v>45309</v>
      </c>
    </row>
    <row r="94" spans="1:3" ht="21" x14ac:dyDescent="0.4">
      <c r="A94" s="47" t="s">
        <v>75</v>
      </c>
      <c r="B94" s="71">
        <v>13164905</v>
      </c>
      <c r="C94" s="71">
        <v>7055</v>
      </c>
    </row>
    <row r="95" spans="1:3" ht="21" x14ac:dyDescent="0.4">
      <c r="A95" s="47" t="s">
        <v>76</v>
      </c>
      <c r="B95" s="71">
        <v>1972277</v>
      </c>
      <c r="C95" s="71">
        <v>1954</v>
      </c>
    </row>
    <row r="96" spans="1:3" ht="21" x14ac:dyDescent="0.4">
      <c r="A96" s="47" t="s">
        <v>77</v>
      </c>
      <c r="B96" s="71">
        <v>786936</v>
      </c>
      <c r="C96" s="71">
        <v>389</v>
      </c>
    </row>
    <row r="97" spans="1:3" ht="21" x14ac:dyDescent="0.4">
      <c r="A97" s="47" t="s">
        <v>78</v>
      </c>
      <c r="B97" s="71">
        <v>11416103</v>
      </c>
      <c r="C97" s="71">
        <v>7340</v>
      </c>
    </row>
    <row r="98" spans="1:3" ht="21" x14ac:dyDescent="0.4">
      <c r="A98" s="47" t="s">
        <v>79</v>
      </c>
      <c r="B98" s="71">
        <v>528</v>
      </c>
      <c r="C98" s="71">
        <v>12</v>
      </c>
    </row>
    <row r="99" spans="1:3" ht="21" x14ac:dyDescent="0.4">
      <c r="A99" s="47" t="s">
        <v>80</v>
      </c>
      <c r="B99" s="71">
        <v>10012084</v>
      </c>
      <c r="C99" s="71">
        <v>39741</v>
      </c>
    </row>
    <row r="100" spans="1:3" ht="21" x14ac:dyDescent="0.4">
      <c r="A100" s="47" t="s">
        <v>81</v>
      </c>
      <c r="B100" s="71">
        <v>9657785</v>
      </c>
      <c r="C100" s="71">
        <v>4448</v>
      </c>
    </row>
    <row r="101" spans="1:3" ht="21" x14ac:dyDescent="0.4">
      <c r="A101" s="47" t="s">
        <v>82</v>
      </c>
      <c r="B101" s="71">
        <v>341465</v>
      </c>
      <c r="C101" s="71">
        <v>1854</v>
      </c>
    </row>
    <row r="102" spans="1:3" ht="21" x14ac:dyDescent="0.4">
      <c r="A102" s="47" t="s">
        <v>83</v>
      </c>
      <c r="B102" s="71">
        <v>1381344997</v>
      </c>
      <c r="C102" s="71">
        <v>1480073</v>
      </c>
    </row>
    <row r="103" spans="1:3" ht="21" x14ac:dyDescent="0.4">
      <c r="A103" s="47" t="s">
        <v>84</v>
      </c>
      <c r="B103" s="71">
        <v>273808365</v>
      </c>
      <c r="C103" s="71">
        <v>100303</v>
      </c>
    </row>
    <row r="104" spans="1:3" ht="21" x14ac:dyDescent="0.4">
      <c r="A104" s="47" t="s">
        <v>85</v>
      </c>
      <c r="B104" s="71">
        <v>84097623</v>
      </c>
      <c r="C104" s="71">
        <v>293606</v>
      </c>
    </row>
    <row r="105" spans="1:3" ht="21" x14ac:dyDescent="0.4">
      <c r="A105" s="47" t="s">
        <v>86</v>
      </c>
      <c r="B105" s="71">
        <v>40306025</v>
      </c>
      <c r="C105" s="71">
        <v>112585</v>
      </c>
    </row>
    <row r="106" spans="1:3" ht="21" x14ac:dyDescent="0.4">
      <c r="A106" s="47" t="s">
        <v>87</v>
      </c>
      <c r="B106" s="71">
        <v>4943200</v>
      </c>
      <c r="C106" s="71">
        <v>25892</v>
      </c>
    </row>
    <row r="107" spans="1:3" ht="21" x14ac:dyDescent="0.4">
      <c r="A107" s="47" t="s">
        <v>88</v>
      </c>
      <c r="B107" s="71">
        <v>9197590</v>
      </c>
      <c r="C107" s="71">
        <v>63985</v>
      </c>
    </row>
    <row r="108" spans="1:3" ht="21" x14ac:dyDescent="0.4">
      <c r="A108" s="47" t="s">
        <v>89</v>
      </c>
      <c r="B108" s="71">
        <v>60452568</v>
      </c>
      <c r="C108" s="71">
        <v>246286</v>
      </c>
    </row>
    <row r="109" spans="1:3" ht="21" x14ac:dyDescent="0.4">
      <c r="A109" s="47" t="s">
        <v>90</v>
      </c>
      <c r="B109" s="71">
        <v>2962478</v>
      </c>
      <c r="C109" s="71">
        <v>853</v>
      </c>
    </row>
    <row r="110" spans="1:3" ht="21" x14ac:dyDescent="0.4">
      <c r="A110" s="47" t="s">
        <v>91</v>
      </c>
      <c r="B110" s="71">
        <v>126435859</v>
      </c>
      <c r="C110" s="71">
        <v>31142</v>
      </c>
    </row>
    <row r="111" spans="1:3" ht="21" x14ac:dyDescent="0.4">
      <c r="A111" s="47" t="s">
        <v>92</v>
      </c>
      <c r="B111" s="71">
        <v>10213138</v>
      </c>
      <c r="C111" s="71">
        <v>1176</v>
      </c>
    </row>
    <row r="112" spans="1:3" ht="21" x14ac:dyDescent="0.4">
      <c r="A112" s="47" t="s">
        <v>93</v>
      </c>
      <c r="B112" s="71">
        <v>18798667</v>
      </c>
      <c r="C112" s="71">
        <v>84648</v>
      </c>
    </row>
    <row r="113" spans="1:3" ht="21" x14ac:dyDescent="0.4">
      <c r="A113" s="47" t="s">
        <v>94</v>
      </c>
      <c r="B113" s="71">
        <v>53881160</v>
      </c>
      <c r="C113" s="71">
        <v>17975</v>
      </c>
    </row>
    <row r="114" spans="1:3" ht="21" x14ac:dyDescent="0.4">
      <c r="A114" s="47" t="s">
        <v>95</v>
      </c>
      <c r="B114" s="71">
        <v>1790152</v>
      </c>
      <c r="C114" s="71">
        <v>7413</v>
      </c>
    </row>
    <row r="115" spans="1:3" ht="21" x14ac:dyDescent="0.4">
      <c r="A115" s="47" t="s">
        <v>96</v>
      </c>
      <c r="B115" s="71">
        <v>4276658</v>
      </c>
      <c r="C115" s="71">
        <v>64379</v>
      </c>
    </row>
    <row r="116" spans="1:3" ht="21" x14ac:dyDescent="0.4">
      <c r="A116" s="47" t="s">
        <v>97</v>
      </c>
      <c r="B116" s="71">
        <v>6534479</v>
      </c>
      <c r="C116" s="71">
        <v>33296</v>
      </c>
    </row>
    <row r="117" spans="1:3" ht="21" x14ac:dyDescent="0.4">
      <c r="A117" s="47" t="s">
        <v>98</v>
      </c>
      <c r="B117" s="71">
        <v>7285750</v>
      </c>
      <c r="C117" s="71">
        <v>20</v>
      </c>
    </row>
    <row r="118" spans="1:3" ht="21" x14ac:dyDescent="0.4">
      <c r="A118" s="47" t="s">
        <v>99</v>
      </c>
      <c r="B118" s="71">
        <v>1883936</v>
      </c>
      <c r="C118" s="71">
        <v>1219</v>
      </c>
    </row>
    <row r="119" spans="1:3" ht="21" x14ac:dyDescent="0.4">
      <c r="A119" s="47" t="s">
        <v>100</v>
      </c>
      <c r="B119" s="71">
        <v>6822220</v>
      </c>
      <c r="C119" s="71">
        <v>3882</v>
      </c>
    </row>
    <row r="120" spans="1:3" ht="21" x14ac:dyDescent="0.4">
      <c r="A120" s="47" t="s">
        <v>101</v>
      </c>
      <c r="B120" s="71">
        <v>2143943</v>
      </c>
      <c r="C120" s="71">
        <v>505</v>
      </c>
    </row>
    <row r="121" spans="1:3" ht="21" x14ac:dyDescent="0.4">
      <c r="A121" s="47" t="s">
        <v>102</v>
      </c>
      <c r="B121" s="71">
        <v>5068618</v>
      </c>
      <c r="C121" s="71">
        <v>1167</v>
      </c>
    </row>
    <row r="122" spans="1:3" ht="21" x14ac:dyDescent="0.4">
      <c r="A122" s="47" t="s">
        <v>103</v>
      </c>
      <c r="B122" s="71">
        <v>6880353</v>
      </c>
      <c r="C122" s="71">
        <v>2827</v>
      </c>
    </row>
    <row r="123" spans="1:3" ht="21" x14ac:dyDescent="0.4">
      <c r="A123" s="47" t="s">
        <v>104</v>
      </c>
      <c r="B123" s="71">
        <v>38139</v>
      </c>
      <c r="C123" s="71">
        <v>86</v>
      </c>
    </row>
    <row r="124" spans="1:3" ht="21" x14ac:dyDescent="0.4">
      <c r="A124" s="47" t="s">
        <v>105</v>
      </c>
      <c r="B124" s="71">
        <v>2718121</v>
      </c>
      <c r="C124" s="71">
        <v>2019</v>
      </c>
    </row>
    <row r="125" spans="1:3" ht="21" x14ac:dyDescent="0.4">
      <c r="A125" s="47" t="s">
        <v>106</v>
      </c>
      <c r="B125" s="71">
        <v>626952</v>
      </c>
      <c r="C125" s="71">
        <v>6321</v>
      </c>
    </row>
    <row r="126" spans="1:3" ht="21" x14ac:dyDescent="0.4">
      <c r="A126" s="47" t="s">
        <v>107</v>
      </c>
      <c r="B126" s="71">
        <v>27755708</v>
      </c>
      <c r="C126" s="71">
        <v>9690</v>
      </c>
    </row>
    <row r="127" spans="1:3" ht="21" x14ac:dyDescent="0.4">
      <c r="A127" s="47" t="s">
        <v>108</v>
      </c>
      <c r="B127" s="71">
        <v>19174839</v>
      </c>
      <c r="C127" s="71">
        <v>3664</v>
      </c>
    </row>
    <row r="128" spans="1:3" ht="21" x14ac:dyDescent="0.4">
      <c r="A128" s="47" t="s">
        <v>109</v>
      </c>
      <c r="B128" s="71">
        <v>32406372</v>
      </c>
      <c r="C128" s="71">
        <v>8904</v>
      </c>
    </row>
    <row r="129" spans="1:3" ht="21" x14ac:dyDescent="0.4">
      <c r="A129" s="47" t="s">
        <v>110</v>
      </c>
      <c r="B129" s="71">
        <v>541448</v>
      </c>
      <c r="C129" s="71">
        <v>3369</v>
      </c>
    </row>
    <row r="130" spans="1:3" ht="21" x14ac:dyDescent="0.4">
      <c r="A130" s="47" t="s">
        <v>111</v>
      </c>
      <c r="B130" s="71">
        <v>20302901</v>
      </c>
      <c r="C130" s="71">
        <v>2513</v>
      </c>
    </row>
    <row r="131" spans="1:3" ht="21" x14ac:dyDescent="0.4">
      <c r="A131" s="47" t="s">
        <v>112</v>
      </c>
      <c r="B131" s="71">
        <v>441663</v>
      </c>
      <c r="C131" s="71">
        <v>701</v>
      </c>
    </row>
    <row r="132" spans="1:3" ht="21" x14ac:dyDescent="0.4">
      <c r="A132" s="47" t="s">
        <v>113</v>
      </c>
      <c r="B132" s="71">
        <v>4660728</v>
      </c>
      <c r="C132" s="71">
        <v>6208</v>
      </c>
    </row>
    <row r="133" spans="1:3" ht="21" x14ac:dyDescent="0.4">
      <c r="A133" s="47" t="s">
        <v>114</v>
      </c>
      <c r="B133" s="71">
        <v>1271985</v>
      </c>
      <c r="C133" s="71">
        <v>344</v>
      </c>
    </row>
    <row r="134" spans="1:3" ht="21" x14ac:dyDescent="0.4">
      <c r="A134" s="47" t="s">
        <v>115</v>
      </c>
      <c r="B134" s="71">
        <v>129066160</v>
      </c>
      <c r="C134" s="71">
        <v>395489</v>
      </c>
    </row>
    <row r="135" spans="1:3" ht="21" x14ac:dyDescent="0.4">
      <c r="A135" s="47" t="s">
        <v>116</v>
      </c>
      <c r="B135" s="71">
        <v>4032983</v>
      </c>
      <c r="C135" s="71">
        <v>23154</v>
      </c>
    </row>
    <row r="136" spans="1:3" ht="21" x14ac:dyDescent="0.4">
      <c r="A136" s="47" t="s">
        <v>117</v>
      </c>
      <c r="B136" s="71">
        <v>39270</v>
      </c>
      <c r="C136" s="71">
        <v>116</v>
      </c>
    </row>
    <row r="137" spans="1:3" ht="21" x14ac:dyDescent="0.4">
      <c r="A137" s="47" t="s">
        <v>118</v>
      </c>
      <c r="B137" s="71">
        <v>3283344</v>
      </c>
      <c r="C137" s="71">
        <v>289</v>
      </c>
    </row>
    <row r="138" spans="1:3" ht="21" x14ac:dyDescent="0.4">
      <c r="A138" s="47" t="s">
        <v>119</v>
      </c>
      <c r="B138" s="71">
        <v>628074</v>
      </c>
      <c r="C138" s="71">
        <v>2893</v>
      </c>
    </row>
    <row r="139" spans="1:3" ht="21" x14ac:dyDescent="0.4">
      <c r="A139" s="47" t="s">
        <v>120</v>
      </c>
      <c r="B139" s="71">
        <v>36953359</v>
      </c>
      <c r="C139" s="71">
        <v>20887</v>
      </c>
    </row>
    <row r="140" spans="1:3" ht="21" x14ac:dyDescent="0.4">
      <c r="A140" s="47" t="s">
        <v>121</v>
      </c>
      <c r="B140" s="71">
        <v>31333962</v>
      </c>
      <c r="C140" s="71">
        <v>1701</v>
      </c>
    </row>
    <row r="141" spans="1:3" ht="21" x14ac:dyDescent="0.4">
      <c r="A141" s="47" t="s">
        <v>191</v>
      </c>
      <c r="B141" s="71">
        <v>54446389</v>
      </c>
      <c r="C141" s="71">
        <v>350</v>
      </c>
    </row>
    <row r="142" spans="1:3" ht="21" x14ac:dyDescent="0.4">
      <c r="A142" s="47" t="s">
        <v>122</v>
      </c>
      <c r="B142" s="71">
        <v>2545264</v>
      </c>
      <c r="C142" s="71">
        <v>1843</v>
      </c>
    </row>
    <row r="143" spans="1:3" ht="21" x14ac:dyDescent="0.4">
      <c r="A143" s="47" t="s">
        <v>123</v>
      </c>
      <c r="B143" s="71">
        <v>29186486</v>
      </c>
      <c r="C143" s="71">
        <v>18752</v>
      </c>
    </row>
    <row r="144" spans="1:3" ht="21" x14ac:dyDescent="0.4">
      <c r="A144" s="47" t="s">
        <v>124</v>
      </c>
      <c r="B144" s="71">
        <v>17138756</v>
      </c>
      <c r="C144" s="71">
        <v>53413</v>
      </c>
    </row>
    <row r="145" spans="1:3" ht="21" x14ac:dyDescent="0.4">
      <c r="A145" s="47" t="s">
        <v>125</v>
      </c>
      <c r="B145" s="71">
        <v>5002100</v>
      </c>
      <c r="C145" s="71">
        <v>1557</v>
      </c>
    </row>
    <row r="146" spans="1:3" ht="21" x14ac:dyDescent="0.4">
      <c r="A146" s="47" t="s">
        <v>126</v>
      </c>
      <c r="B146" s="71">
        <v>6632263</v>
      </c>
      <c r="C146" s="71">
        <v>3439</v>
      </c>
    </row>
    <row r="147" spans="1:3" ht="21" x14ac:dyDescent="0.4">
      <c r="A147" s="47" t="s">
        <v>127</v>
      </c>
      <c r="B147" s="71">
        <v>24281433</v>
      </c>
      <c r="C147" s="71">
        <v>1132</v>
      </c>
    </row>
    <row r="148" spans="1:3" ht="21" x14ac:dyDescent="0.4">
      <c r="A148" s="47" t="s">
        <v>128</v>
      </c>
      <c r="B148" s="71">
        <v>206606300</v>
      </c>
      <c r="C148" s="71">
        <v>41180</v>
      </c>
    </row>
    <row r="149" spans="1:3" ht="21" x14ac:dyDescent="0.4">
      <c r="A149" s="47" t="s">
        <v>129</v>
      </c>
      <c r="B149" s="71">
        <v>2083365</v>
      </c>
      <c r="C149" s="71">
        <v>10213</v>
      </c>
    </row>
    <row r="150" spans="1:3" ht="21" x14ac:dyDescent="0.4">
      <c r="A150" s="47" t="s">
        <v>130</v>
      </c>
      <c r="B150" s="71">
        <v>5425471</v>
      </c>
      <c r="C150" s="71">
        <v>9132</v>
      </c>
    </row>
    <row r="151" spans="1:3" ht="21" x14ac:dyDescent="0.4">
      <c r="A151" s="47" t="s">
        <v>131</v>
      </c>
      <c r="B151" s="71">
        <v>5118446</v>
      </c>
      <c r="C151" s="71">
        <v>77058</v>
      </c>
    </row>
    <row r="152" spans="1:3" ht="21" x14ac:dyDescent="0.4">
      <c r="A152" s="47" t="s">
        <v>132</v>
      </c>
      <c r="B152" s="71">
        <v>221295851</v>
      </c>
      <c r="C152" s="71">
        <v>274289</v>
      </c>
    </row>
    <row r="153" spans="1:3" ht="21" x14ac:dyDescent="0.4">
      <c r="A153" s="47" t="s">
        <v>133</v>
      </c>
      <c r="B153" s="71">
        <v>5112340</v>
      </c>
      <c r="C153" s="71">
        <v>61442</v>
      </c>
    </row>
    <row r="154" spans="1:3" ht="21" x14ac:dyDescent="0.4">
      <c r="A154" s="47" t="s">
        <v>134</v>
      </c>
      <c r="B154" s="71">
        <v>8963009</v>
      </c>
      <c r="C154" s="71">
        <v>62</v>
      </c>
    </row>
    <row r="155" spans="1:3" ht="21" x14ac:dyDescent="0.4">
      <c r="A155" s="47" t="s">
        <v>135</v>
      </c>
      <c r="B155" s="71">
        <v>7141091</v>
      </c>
      <c r="C155" s="71">
        <v>4548</v>
      </c>
    </row>
    <row r="156" spans="1:3" ht="21" x14ac:dyDescent="0.4">
      <c r="A156" s="47" t="s">
        <v>136</v>
      </c>
      <c r="B156" s="71">
        <v>33016319</v>
      </c>
      <c r="C156" s="71">
        <v>389717</v>
      </c>
    </row>
    <row r="157" spans="1:3" ht="21" x14ac:dyDescent="0.4">
      <c r="A157" s="47" t="s">
        <v>137</v>
      </c>
      <c r="B157" s="71">
        <v>109722719</v>
      </c>
      <c r="C157" s="71">
        <v>82040</v>
      </c>
    </row>
    <row r="158" spans="1:3" ht="21" x14ac:dyDescent="0.4">
      <c r="A158" s="47" t="s">
        <v>138</v>
      </c>
      <c r="B158" s="71">
        <v>37842302</v>
      </c>
      <c r="C158" s="71">
        <v>43402</v>
      </c>
    </row>
    <row r="159" spans="1:3" ht="21" x14ac:dyDescent="0.4">
      <c r="A159" s="47" t="s">
        <v>139</v>
      </c>
      <c r="B159" s="71">
        <v>10193593</v>
      </c>
      <c r="C159" s="71">
        <v>50299</v>
      </c>
    </row>
    <row r="160" spans="1:3" ht="21" x14ac:dyDescent="0.4">
      <c r="A160" s="47" t="s">
        <v>140</v>
      </c>
      <c r="B160" s="71">
        <v>2807805</v>
      </c>
      <c r="C160" s="71">
        <v>109597</v>
      </c>
    </row>
    <row r="161" spans="1:3" ht="21" x14ac:dyDescent="0.4">
      <c r="A161" s="47" t="s">
        <v>141</v>
      </c>
      <c r="B161" s="71">
        <v>19224023</v>
      </c>
      <c r="C161" s="71">
        <v>45902</v>
      </c>
    </row>
    <row r="162" spans="1:3" ht="21" x14ac:dyDescent="0.4">
      <c r="A162" s="47" t="s">
        <v>142</v>
      </c>
      <c r="B162" s="71">
        <v>145940924</v>
      </c>
      <c r="C162" s="71">
        <v>816680</v>
      </c>
    </row>
    <row r="163" spans="1:3" ht="21" x14ac:dyDescent="0.4">
      <c r="A163" s="47" t="s">
        <v>143</v>
      </c>
      <c r="B163" s="71">
        <v>12981546</v>
      </c>
      <c r="C163" s="71">
        <v>1879</v>
      </c>
    </row>
    <row r="164" spans="1:3" ht="21" x14ac:dyDescent="0.4">
      <c r="A164" s="47" t="s">
        <v>144</v>
      </c>
      <c r="B164" s="71">
        <v>53237</v>
      </c>
      <c r="C164" s="71">
        <v>17</v>
      </c>
    </row>
    <row r="165" spans="1:3" ht="21" x14ac:dyDescent="0.4">
      <c r="A165" s="47" t="s">
        <v>145</v>
      </c>
      <c r="B165" s="71">
        <v>183712</v>
      </c>
      <c r="C165" s="71">
        <v>24</v>
      </c>
    </row>
    <row r="166" spans="1:3" ht="21" x14ac:dyDescent="0.4">
      <c r="A166" s="47" t="s">
        <v>146</v>
      </c>
      <c r="B166" s="71">
        <v>104000</v>
      </c>
      <c r="C166" s="71">
        <v>52</v>
      </c>
    </row>
    <row r="167" spans="1:3" ht="21" x14ac:dyDescent="0.4">
      <c r="A167" s="47" t="s">
        <v>147</v>
      </c>
      <c r="B167" s="71">
        <v>33938</v>
      </c>
      <c r="C167" s="71">
        <v>699</v>
      </c>
    </row>
    <row r="168" spans="1:3" ht="21" x14ac:dyDescent="0.4">
      <c r="A168" s="47" t="s">
        <v>148</v>
      </c>
      <c r="B168" s="71">
        <v>219544</v>
      </c>
      <c r="C168" s="71">
        <v>865</v>
      </c>
    </row>
    <row r="169" spans="1:3" ht="21" x14ac:dyDescent="0.4">
      <c r="A169" s="47" t="s">
        <v>149</v>
      </c>
      <c r="B169" s="71">
        <v>34865919</v>
      </c>
      <c r="C169" s="71">
        <v>268934</v>
      </c>
    </row>
    <row r="170" spans="1:3" ht="21" x14ac:dyDescent="0.4">
      <c r="A170" s="47" t="s">
        <v>150</v>
      </c>
      <c r="B170" s="71">
        <v>16783877</v>
      </c>
      <c r="C170" s="71">
        <v>9764</v>
      </c>
    </row>
    <row r="171" spans="1:3" ht="21" x14ac:dyDescent="0.4">
      <c r="A171" s="47" t="s">
        <v>151</v>
      </c>
      <c r="B171" s="71">
        <v>8733665</v>
      </c>
      <c r="C171" s="71">
        <v>24141</v>
      </c>
    </row>
    <row r="172" spans="1:3" ht="21" x14ac:dyDescent="0.4">
      <c r="A172" s="47" t="s">
        <v>152</v>
      </c>
      <c r="B172" s="71">
        <v>98408</v>
      </c>
      <c r="C172" s="71">
        <v>114</v>
      </c>
    </row>
    <row r="173" spans="1:3" ht="21" x14ac:dyDescent="0.4">
      <c r="A173" s="47" t="s">
        <v>153</v>
      </c>
      <c r="B173" s="71">
        <v>7992169</v>
      </c>
      <c r="C173" s="71">
        <v>1783</v>
      </c>
    </row>
    <row r="174" spans="1:3" ht="21" x14ac:dyDescent="0.4">
      <c r="A174" s="47" t="s">
        <v>154</v>
      </c>
      <c r="B174" s="71">
        <v>5854932</v>
      </c>
      <c r="C174" s="71">
        <v>50838</v>
      </c>
    </row>
    <row r="175" spans="1:3" ht="21" x14ac:dyDescent="0.4">
      <c r="A175" s="47" t="s">
        <v>155</v>
      </c>
      <c r="B175" s="71">
        <v>5459915</v>
      </c>
      <c r="C175" s="71">
        <v>2181</v>
      </c>
    </row>
    <row r="176" spans="1:3" ht="21" x14ac:dyDescent="0.4">
      <c r="A176" s="47" t="s">
        <v>156</v>
      </c>
      <c r="B176" s="71">
        <v>2078968</v>
      </c>
      <c r="C176" s="71">
        <v>2087</v>
      </c>
    </row>
    <row r="177" spans="1:3" ht="21" x14ac:dyDescent="0.4">
      <c r="A177" s="47" t="s">
        <v>157</v>
      </c>
      <c r="B177" s="71">
        <v>15933012</v>
      </c>
      <c r="C177" s="71">
        <v>3196</v>
      </c>
    </row>
    <row r="178" spans="1:3" ht="21" x14ac:dyDescent="0.4">
      <c r="A178" s="47" t="s">
        <v>158</v>
      </c>
      <c r="B178" s="71">
        <v>59381566</v>
      </c>
      <c r="C178" s="71">
        <v>452529</v>
      </c>
    </row>
    <row r="179" spans="1:3" ht="21" x14ac:dyDescent="0.4">
      <c r="A179" s="47" t="s">
        <v>159</v>
      </c>
      <c r="B179" s="71">
        <v>51273732</v>
      </c>
      <c r="C179" s="71">
        <v>14203</v>
      </c>
    </row>
    <row r="180" spans="1:3" ht="21" x14ac:dyDescent="0.4">
      <c r="A180" s="47" t="s">
        <v>160</v>
      </c>
      <c r="B180" s="71">
        <v>11206572</v>
      </c>
      <c r="C180" s="71">
        <v>2305</v>
      </c>
    </row>
    <row r="181" spans="1:3" ht="21" x14ac:dyDescent="0.4">
      <c r="A181" s="47" t="s">
        <v>161</v>
      </c>
      <c r="B181" s="71">
        <v>46756648</v>
      </c>
      <c r="C181" s="71">
        <v>272421</v>
      </c>
    </row>
    <row r="182" spans="1:3" ht="21" x14ac:dyDescent="0.4">
      <c r="A182" s="47" t="s">
        <v>162</v>
      </c>
      <c r="B182" s="71">
        <v>21422362</v>
      </c>
      <c r="C182" s="71">
        <v>2805</v>
      </c>
    </row>
    <row r="183" spans="1:3" ht="21" x14ac:dyDescent="0.4">
      <c r="A183" s="47" t="s">
        <v>163</v>
      </c>
      <c r="B183" s="71">
        <v>43943536</v>
      </c>
      <c r="C183" s="71">
        <v>11424</v>
      </c>
    </row>
    <row r="184" spans="1:3" ht="21" x14ac:dyDescent="0.4">
      <c r="A184" s="47" t="s">
        <v>164</v>
      </c>
      <c r="B184" s="71">
        <v>587154</v>
      </c>
      <c r="C184" s="71">
        <v>1483</v>
      </c>
    </row>
    <row r="185" spans="1:3" ht="21" x14ac:dyDescent="0.4">
      <c r="A185" s="47" t="s">
        <v>165</v>
      </c>
      <c r="B185" s="71">
        <v>10105596</v>
      </c>
      <c r="C185" s="71">
        <v>79395</v>
      </c>
    </row>
    <row r="186" spans="1:3" ht="21" x14ac:dyDescent="0.4">
      <c r="A186" s="47" t="s">
        <v>166</v>
      </c>
      <c r="B186" s="71">
        <v>8660952</v>
      </c>
      <c r="C186" s="71">
        <v>34477</v>
      </c>
    </row>
    <row r="187" spans="1:3" ht="21" x14ac:dyDescent="0.4">
      <c r="A187" s="47" t="s">
        <v>167</v>
      </c>
      <c r="B187" s="71">
        <v>17539600</v>
      </c>
      <c r="C187" s="71">
        <v>674</v>
      </c>
    </row>
    <row r="188" spans="1:3" ht="21" x14ac:dyDescent="0.4">
      <c r="A188" s="47" t="s">
        <v>190</v>
      </c>
      <c r="B188" s="71">
        <v>23821199</v>
      </c>
      <c r="C188" s="71">
        <v>462</v>
      </c>
    </row>
    <row r="189" spans="1:3" ht="21" x14ac:dyDescent="0.4">
      <c r="A189" s="47" t="s">
        <v>168</v>
      </c>
      <c r="B189" s="71">
        <v>9557468</v>
      </c>
      <c r="C189" s="71">
        <v>7235</v>
      </c>
    </row>
    <row r="190" spans="1:3" ht="21" x14ac:dyDescent="0.4">
      <c r="A190" s="47" t="s">
        <v>169</v>
      </c>
      <c r="B190" s="71">
        <v>59886383</v>
      </c>
      <c r="C190" s="71">
        <v>509</v>
      </c>
    </row>
    <row r="191" spans="1:3" ht="21" x14ac:dyDescent="0.4">
      <c r="A191" s="47" t="s">
        <v>170</v>
      </c>
      <c r="B191" s="71">
        <v>69817894</v>
      </c>
      <c r="C191" s="71">
        <v>3297</v>
      </c>
    </row>
    <row r="192" spans="1:3" ht="21" x14ac:dyDescent="0.4">
      <c r="A192" s="47" t="s">
        <v>171</v>
      </c>
      <c r="B192" s="71">
        <v>1320812</v>
      </c>
      <c r="C192" s="71">
        <v>24</v>
      </c>
    </row>
    <row r="193" spans="1:3" ht="21" x14ac:dyDescent="0.4">
      <c r="A193" s="47" t="s">
        <v>172</v>
      </c>
      <c r="B193" s="71">
        <v>8296582</v>
      </c>
      <c r="C193" s="71">
        <v>874</v>
      </c>
    </row>
    <row r="194" spans="1:3" ht="21" x14ac:dyDescent="0.4">
      <c r="A194" s="47" t="s">
        <v>173</v>
      </c>
      <c r="B194" s="71">
        <v>1399950</v>
      </c>
      <c r="C194" s="71">
        <v>148</v>
      </c>
    </row>
    <row r="195" spans="1:3" ht="21" x14ac:dyDescent="0.4">
      <c r="A195" s="47" t="s">
        <v>174</v>
      </c>
      <c r="B195" s="71">
        <v>11830801</v>
      </c>
      <c r="C195" s="71">
        <v>1455</v>
      </c>
    </row>
    <row r="196" spans="1:3" ht="21" x14ac:dyDescent="0.4">
      <c r="A196" s="47" t="s">
        <v>175</v>
      </c>
      <c r="B196" s="71">
        <v>84428331</v>
      </c>
      <c r="C196" s="71">
        <v>227019</v>
      </c>
    </row>
    <row r="197" spans="1:3" ht="21" x14ac:dyDescent="0.4">
      <c r="A197" s="47" t="s">
        <v>177</v>
      </c>
      <c r="B197" s="71">
        <v>45867852</v>
      </c>
      <c r="C197" s="71">
        <v>1128</v>
      </c>
    </row>
    <row r="198" spans="1:3" ht="21" x14ac:dyDescent="0.4">
      <c r="A198" s="47" t="s">
        <v>178</v>
      </c>
      <c r="B198" s="71">
        <v>43705858</v>
      </c>
      <c r="C198" s="71">
        <v>67096</v>
      </c>
    </row>
    <row r="199" spans="1:3" ht="21" x14ac:dyDescent="0.4">
      <c r="A199" s="47" t="s">
        <v>179</v>
      </c>
      <c r="B199" s="71">
        <v>9902079</v>
      </c>
      <c r="C199" s="71">
        <v>59177</v>
      </c>
    </row>
    <row r="200" spans="1:3" ht="21" x14ac:dyDescent="0.4">
      <c r="A200" s="47" t="s">
        <v>180</v>
      </c>
      <c r="B200" s="71">
        <v>67922029</v>
      </c>
      <c r="C200" s="71">
        <v>301708</v>
      </c>
    </row>
    <row r="201" spans="1:3" ht="21" x14ac:dyDescent="0.4">
      <c r="A201" s="47" t="s">
        <v>181</v>
      </c>
      <c r="B201" s="71">
        <v>3474956</v>
      </c>
      <c r="C201" s="71">
        <v>1202</v>
      </c>
    </row>
    <row r="202" spans="1:3" ht="21" x14ac:dyDescent="0.4">
      <c r="A202" s="47" t="s">
        <v>176</v>
      </c>
      <c r="B202" s="71">
        <v>331198130</v>
      </c>
      <c r="C202" s="71">
        <v>4290259</v>
      </c>
    </row>
    <row r="203" spans="1:3" ht="21" x14ac:dyDescent="0.4">
      <c r="A203" s="47" t="s">
        <v>182</v>
      </c>
      <c r="B203" s="71">
        <v>33516027</v>
      </c>
      <c r="C203" s="71">
        <v>21209</v>
      </c>
    </row>
    <row r="204" spans="1:3" ht="21" x14ac:dyDescent="0.4">
      <c r="A204" s="47" t="s">
        <v>183</v>
      </c>
      <c r="B204" s="71">
        <v>28427499</v>
      </c>
      <c r="C204" s="71">
        <v>15988</v>
      </c>
    </row>
    <row r="205" spans="1:3" ht="21" x14ac:dyDescent="0.4">
      <c r="A205" s="47" t="s">
        <v>184</v>
      </c>
      <c r="B205" s="71">
        <v>97425470</v>
      </c>
      <c r="C205" s="71">
        <v>431</v>
      </c>
    </row>
    <row r="206" spans="1:3" ht="21" x14ac:dyDescent="0.4">
      <c r="A206" s="47" t="s">
        <v>185</v>
      </c>
      <c r="B206" s="71">
        <v>4800000</v>
      </c>
      <c r="C206" s="71">
        <v>10621</v>
      </c>
    </row>
    <row r="207" spans="1:3" ht="21" x14ac:dyDescent="0.4">
      <c r="A207" s="47" t="s">
        <v>186</v>
      </c>
      <c r="B207" s="71">
        <v>598682</v>
      </c>
      <c r="C207" s="71">
        <v>10</v>
      </c>
    </row>
    <row r="208" spans="1:3" ht="21" x14ac:dyDescent="0.4">
      <c r="A208" s="47" t="s">
        <v>187</v>
      </c>
      <c r="B208" s="71">
        <v>29886897</v>
      </c>
      <c r="C208" s="71">
        <v>1691</v>
      </c>
    </row>
    <row r="209" spans="1:3" ht="21" x14ac:dyDescent="0.4">
      <c r="A209" s="47" t="s">
        <v>188</v>
      </c>
      <c r="B209" s="71">
        <v>18430129</v>
      </c>
      <c r="C209" s="71">
        <v>4552</v>
      </c>
    </row>
    <row r="210" spans="1:3" ht="21" x14ac:dyDescent="0.4">
      <c r="A210" s="47" t="s">
        <v>189</v>
      </c>
      <c r="B210" s="71">
        <v>14883803</v>
      </c>
      <c r="C210" s="71">
        <v>2704</v>
      </c>
    </row>
    <row r="211" spans="1:3" ht="21" x14ac:dyDescent="0.4">
      <c r="A211" s="47" t="s">
        <v>208</v>
      </c>
      <c r="B211" s="71">
        <v>7718234447</v>
      </c>
      <c r="C211" s="71">
        <v>16480485</v>
      </c>
    </row>
  </sheetData>
  <conditionalFormatting sqref="B8">
    <cfRule type="dataBar" priority="15">
      <dataBar>
        <cfvo type="min"/>
        <cfvo type="max"/>
        <color rgb="FFFFB628"/>
      </dataBar>
      <extLst>
        <ext xmlns:x14="http://schemas.microsoft.com/office/spreadsheetml/2009/9/main" uri="{B025F937-C7B1-47D3-B67F-A62EFF666E3E}">
          <x14:id>{68D44587-5FBC-4759-B77F-EF5756AE0B8B}</x14:id>
        </ext>
      </extLst>
    </cfRule>
  </conditionalFormatting>
  <conditionalFormatting sqref="B8">
    <cfRule type="dataBar" priority="13">
      <dataBar>
        <cfvo type="min"/>
        <cfvo type="max"/>
        <color rgb="FFFFB628"/>
      </dataBar>
      <extLst>
        <ext xmlns:x14="http://schemas.microsoft.com/office/spreadsheetml/2009/9/main" uri="{B025F937-C7B1-47D3-B67F-A62EFF666E3E}">
          <x14:id>{68ADE22E-C42A-4B1D-B4FA-7CE45B66366F}</x14:id>
        </ext>
      </extLst>
    </cfRule>
  </conditionalFormatting>
  <conditionalFormatting sqref="B17">
    <cfRule type="colorScale" priority="14">
      <colorScale>
        <cfvo type="min"/>
        <cfvo type="max"/>
        <color rgb="FFF8696B"/>
        <color rgb="FFFCFCFF"/>
      </colorScale>
    </cfRule>
  </conditionalFormatting>
  <conditionalFormatting sqref="B17">
    <cfRule type="colorScale" priority="12">
      <colorScale>
        <cfvo type="min"/>
        <cfvo type="max"/>
        <color rgb="FFFCFCFF"/>
        <color rgb="FFF8696B"/>
      </colorScale>
    </cfRule>
  </conditionalFormatting>
  <conditionalFormatting pivot="1" sqref="C24:C210">
    <cfRule type="cellIs" dxfId="52" priority="11" operator="greaterThan">
      <formula>100000</formula>
    </cfRule>
  </conditionalFormatting>
  <conditionalFormatting pivot="1" sqref="C24:C210">
    <cfRule type="cellIs" dxfId="51" priority="10" operator="between">
      <formula>10000</formula>
      <formula>100000</formula>
    </cfRule>
  </conditionalFormatting>
  <conditionalFormatting pivot="1" sqref="C24:C210">
    <cfRule type="cellIs" dxfId="50" priority="9" operator="lessThan">
      <formula>10000</formula>
    </cfRule>
  </conditionalFormatting>
  <conditionalFormatting pivot="1" sqref="B24:B210">
    <cfRule type="cellIs" dxfId="49" priority="8" operator="greaterThan">
      <formula>10000000</formula>
    </cfRule>
  </conditionalFormatting>
  <conditionalFormatting pivot="1" sqref="B24:B210">
    <cfRule type="cellIs" dxfId="48" priority="7" operator="between">
      <formula>1000000</formula>
      <formula>10000000</formula>
    </cfRule>
  </conditionalFormatting>
  <conditionalFormatting pivot="1" sqref="B24:B210">
    <cfRule type="cellIs" dxfId="47" priority="6" operator="lessThan">
      <formula>1000000</formula>
    </cfRule>
  </conditionalFormatting>
  <conditionalFormatting sqref="B8">
    <cfRule type="dataBar" priority="5">
      <dataBar>
        <cfvo type="min"/>
        <cfvo type="max"/>
        <color rgb="FFFFB628"/>
      </dataBar>
      <extLst>
        <ext xmlns:x14="http://schemas.microsoft.com/office/spreadsheetml/2009/9/main" uri="{B025F937-C7B1-47D3-B67F-A62EFF666E3E}">
          <x14:id>{12ED73EC-26F9-4C82-B3BA-5A2FDAC291D5}</x14:id>
        </ext>
      </extLst>
    </cfRule>
  </conditionalFormatting>
  <conditionalFormatting sqref="B17">
    <cfRule type="colorScale" priority="4">
      <colorScale>
        <cfvo type="min"/>
        <cfvo type="max"/>
        <color rgb="FFFCFCFF"/>
        <color rgb="FFF8696B"/>
      </colorScale>
    </cfRule>
  </conditionalFormatting>
  <conditionalFormatting sqref="B17">
    <cfRule type="colorScale" priority="3">
      <colorScale>
        <cfvo type="min"/>
        <cfvo type="max"/>
        <color rgb="FFFCFCFF"/>
        <color rgb="FFF8696B"/>
      </colorScale>
    </cfRule>
  </conditionalFormatting>
  <conditionalFormatting sqref="B16:B17 B8">
    <cfRule type="dataBar" priority="2">
      <dataBar>
        <cfvo type="min"/>
        <cfvo type="max"/>
        <color rgb="FFFFB628"/>
      </dataBar>
      <extLst>
        <ext xmlns:x14="http://schemas.microsoft.com/office/spreadsheetml/2009/9/main" uri="{B025F937-C7B1-47D3-B67F-A62EFF666E3E}">
          <x14:id>{C6B38F3C-74AB-4B2B-804A-1DF7FF5ECDCB}</x14:id>
        </ext>
      </extLst>
    </cfRule>
  </conditionalFormatting>
  <conditionalFormatting pivot="1" sqref="B9:B14">
    <cfRule type="dataBar" priority="1">
      <dataBar>
        <cfvo type="min"/>
        <cfvo type="max"/>
        <color rgb="FFFFB628"/>
      </dataBar>
      <extLst>
        <ext xmlns:x14="http://schemas.microsoft.com/office/spreadsheetml/2009/9/main" uri="{B025F937-C7B1-47D3-B67F-A62EFF666E3E}">
          <x14:id>{D28F6BBD-4E55-4BBA-90D6-42977A7BB147}</x14:id>
        </ext>
      </extLst>
    </cfRule>
  </conditionalFormatting>
  <pageMargins left="0.7" right="0.7" top="0.75" bottom="0.75" header="0.3" footer="0.3"/>
  <drawing r:id="rId4"/>
  <extLst>
    <ext xmlns:x14="http://schemas.microsoft.com/office/spreadsheetml/2009/9/main" uri="{78C0D931-6437-407d-A8EE-F0AAD7539E65}">
      <x14:conditionalFormattings>
        <x14:conditionalFormatting xmlns:xm="http://schemas.microsoft.com/office/excel/2006/main">
          <x14:cfRule type="dataBar" id="{68D44587-5FBC-4759-B77F-EF5756AE0B8B}">
            <x14:dataBar minLength="0" maxLength="100" border="1" negativeBarBorderColorSameAsPositive="0">
              <x14:cfvo type="autoMin"/>
              <x14:cfvo type="autoMax"/>
              <x14:borderColor rgb="FFFFB628"/>
              <x14:negativeFillColor rgb="FFFF0000"/>
              <x14:negativeBorderColor rgb="FFFF0000"/>
              <x14:axisColor rgb="FF000000"/>
            </x14:dataBar>
          </x14:cfRule>
          <xm:sqref>B8</xm:sqref>
        </x14:conditionalFormatting>
        <x14:conditionalFormatting xmlns:xm="http://schemas.microsoft.com/office/excel/2006/main">
          <x14:cfRule type="dataBar" id="{68ADE22E-C42A-4B1D-B4FA-7CE45B66366F}">
            <x14:dataBar minLength="0" maxLength="100" border="1" negativeBarBorderColorSameAsPositive="0">
              <x14:cfvo type="autoMin"/>
              <x14:cfvo type="autoMax"/>
              <x14:borderColor rgb="FFFFB628"/>
              <x14:negativeFillColor rgb="FFFF0000"/>
              <x14:negativeBorderColor rgb="FFFF0000"/>
              <x14:axisColor rgb="FF000000"/>
            </x14:dataBar>
          </x14:cfRule>
          <xm:sqref>B8</xm:sqref>
        </x14:conditionalFormatting>
        <x14:conditionalFormatting xmlns:xm="http://schemas.microsoft.com/office/excel/2006/main">
          <x14:cfRule type="dataBar" id="{12ED73EC-26F9-4C82-B3BA-5A2FDAC291D5}">
            <x14:dataBar minLength="0" maxLength="100" border="1" negativeBarBorderColorSameAsPositive="0">
              <x14:cfvo type="autoMin"/>
              <x14:cfvo type="autoMax"/>
              <x14:borderColor rgb="FFFFB628"/>
              <x14:negativeFillColor rgb="FFFF0000"/>
              <x14:negativeBorderColor rgb="FFFF0000"/>
              <x14:axisColor rgb="FF000000"/>
            </x14:dataBar>
          </x14:cfRule>
          <xm:sqref>B8</xm:sqref>
        </x14:conditionalFormatting>
        <x14:conditionalFormatting xmlns:xm="http://schemas.microsoft.com/office/excel/2006/main">
          <x14:cfRule type="dataBar" id="{C6B38F3C-74AB-4B2B-804A-1DF7FF5ECDCB}">
            <x14:dataBar minLength="0" maxLength="100" border="1" negativeBarBorderColorSameAsPositive="0">
              <x14:cfvo type="autoMin"/>
              <x14:cfvo type="autoMax"/>
              <x14:borderColor rgb="FFFFB628"/>
              <x14:negativeFillColor rgb="FFFF0000"/>
              <x14:negativeBorderColor rgb="FFFF0000"/>
              <x14:axisColor rgb="FF000000"/>
            </x14:dataBar>
          </x14:cfRule>
          <xm:sqref>B16:B17 B8</xm:sqref>
        </x14:conditionalFormatting>
        <x14:conditionalFormatting xmlns:xm="http://schemas.microsoft.com/office/excel/2006/main" pivot="1">
          <x14:cfRule type="dataBar" id="{D28F6BBD-4E55-4BBA-90D6-42977A7BB147}">
            <x14:dataBar minLength="0" maxLength="100" border="1" negativeBarBorderColorSameAsPositive="0">
              <x14:cfvo type="autoMin"/>
              <x14:cfvo type="autoMax"/>
              <x14:borderColor rgb="FFFFB628"/>
              <x14:negativeFillColor rgb="FFFF0000"/>
              <x14:negativeBorderColor rgb="FFFF0000"/>
              <x14:axisColor rgb="FF000000"/>
            </x14:dataBar>
          </x14:cfRule>
          <xm:sqref>B9:B14</xm:sqref>
        </x14:conditionalFormatting>
      </x14:conditionalFormattings>
    </ex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FB0E3-3186-4C20-B796-6192669A0A80}">
  <dimension ref="A1:G11"/>
  <sheetViews>
    <sheetView tabSelected="1" workbookViewId="0">
      <selection activeCell="E9" sqref="E9"/>
    </sheetView>
  </sheetViews>
  <sheetFormatPr defaultRowHeight="14.4" x14ac:dyDescent="0.3"/>
  <cols>
    <col min="1" max="1" width="10.5546875" bestFit="1" customWidth="1"/>
    <col min="2" max="2" width="15.88671875" bestFit="1" customWidth="1"/>
    <col min="3" max="3" width="12.77734375" bestFit="1" customWidth="1"/>
    <col min="4" max="4" width="15.88671875" bestFit="1" customWidth="1"/>
    <col min="5" max="5" width="27.77734375" bestFit="1" customWidth="1"/>
    <col min="6" max="6" width="15.6640625" bestFit="1" customWidth="1"/>
    <col min="7" max="8" width="15.88671875" bestFit="1" customWidth="1"/>
  </cols>
  <sheetData>
    <row r="1" spans="1:7" x14ac:dyDescent="0.3">
      <c r="A1" s="48" t="s">
        <v>219</v>
      </c>
      <c r="B1" t="s">
        <v>212</v>
      </c>
      <c r="C1" t="s">
        <v>229</v>
      </c>
      <c r="D1" t="s">
        <v>214</v>
      </c>
      <c r="F1" s="48" t="s">
        <v>207</v>
      </c>
      <c r="G1" t="s">
        <v>212</v>
      </c>
    </row>
    <row r="2" spans="1:7" x14ac:dyDescent="0.3">
      <c r="A2" s="49" t="s">
        <v>220</v>
      </c>
      <c r="B2" s="68">
        <v>307135</v>
      </c>
      <c r="C2" s="68">
        <v>34868</v>
      </c>
      <c r="D2" s="68">
        <v>160081</v>
      </c>
      <c r="F2" s="49" t="s">
        <v>197</v>
      </c>
      <c r="G2" s="15">
        <v>5.2215514288566141E-2</v>
      </c>
    </row>
    <row r="3" spans="1:7" x14ac:dyDescent="0.3">
      <c r="A3" s="72" t="s">
        <v>222</v>
      </c>
      <c r="B3" s="68">
        <v>86783</v>
      </c>
      <c r="C3" s="68">
        <v>4656</v>
      </c>
      <c r="D3" s="68">
        <v>78869</v>
      </c>
      <c r="F3" s="49" t="s">
        <v>195</v>
      </c>
      <c r="G3" s="15">
        <v>0.24471713059415423</v>
      </c>
    </row>
    <row r="4" spans="1:7" x14ac:dyDescent="0.3">
      <c r="A4" s="72" t="s">
        <v>223</v>
      </c>
      <c r="B4" s="68">
        <v>220352</v>
      </c>
      <c r="C4" s="68">
        <v>30212</v>
      </c>
      <c r="D4" s="68">
        <v>81212</v>
      </c>
      <c r="F4" s="49" t="s">
        <v>200</v>
      </c>
      <c r="G4" s="15">
        <v>1.0284284716135478E-3</v>
      </c>
    </row>
    <row r="5" spans="1:7" x14ac:dyDescent="0.3">
      <c r="A5" s="49" t="s">
        <v>221</v>
      </c>
      <c r="B5" s="68">
        <v>16173350</v>
      </c>
      <c r="C5" s="68">
        <v>619168</v>
      </c>
      <c r="D5" s="68">
        <v>9308006</v>
      </c>
      <c r="F5" s="49" t="s">
        <v>196</v>
      </c>
      <c r="G5" s="15">
        <v>0.16941758692174411</v>
      </c>
    </row>
    <row r="6" spans="1:7" x14ac:dyDescent="0.3">
      <c r="A6" s="72" t="s">
        <v>226</v>
      </c>
      <c r="B6" s="68">
        <v>8097972</v>
      </c>
      <c r="C6" s="68">
        <v>331940</v>
      </c>
      <c r="D6" s="68">
        <v>3617414</v>
      </c>
      <c r="F6" s="49" t="s">
        <v>198</v>
      </c>
      <c r="G6" s="15">
        <v>0.30322978965728253</v>
      </c>
    </row>
    <row r="7" spans="1:7" x14ac:dyDescent="0.3">
      <c r="A7" s="72" t="s">
        <v>227</v>
      </c>
      <c r="B7" s="68">
        <v>4565502</v>
      </c>
      <c r="C7" s="68">
        <v>198953</v>
      </c>
      <c r="D7" s="68">
        <v>3391320</v>
      </c>
      <c r="F7" s="49" t="s">
        <v>199</v>
      </c>
      <c r="G7" s="15">
        <v>0.22939155006663942</v>
      </c>
    </row>
    <row r="8" spans="1:7" x14ac:dyDescent="0.3">
      <c r="A8" s="72" t="s">
        <v>228</v>
      </c>
      <c r="B8" s="68">
        <v>3493247</v>
      </c>
      <c r="C8" s="68">
        <v>87553</v>
      </c>
      <c r="D8" s="68">
        <v>2288393</v>
      </c>
      <c r="F8" s="49" t="s">
        <v>208</v>
      </c>
      <c r="G8" s="15">
        <v>1</v>
      </c>
    </row>
    <row r="9" spans="1:7" x14ac:dyDescent="0.3">
      <c r="A9" s="72" t="s">
        <v>224</v>
      </c>
      <c r="B9" s="68">
        <v>16124</v>
      </c>
      <c r="C9" s="68">
        <v>710</v>
      </c>
      <c r="D9" s="68">
        <v>10751</v>
      </c>
    </row>
    <row r="10" spans="1:7" x14ac:dyDescent="0.3">
      <c r="A10" s="72" t="s">
        <v>225</v>
      </c>
      <c r="B10" s="68">
        <v>505</v>
      </c>
      <c r="C10" s="68">
        <v>12</v>
      </c>
      <c r="D10" s="68">
        <v>128</v>
      </c>
    </row>
    <row r="11" spans="1:7" x14ac:dyDescent="0.3">
      <c r="A11" s="49" t="s">
        <v>208</v>
      </c>
      <c r="B11" s="68">
        <v>16480485</v>
      </c>
      <c r="C11" s="68">
        <v>654036</v>
      </c>
      <c r="D11" s="68">
        <v>9468087</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359E6-F680-4CEA-A4DD-E5F1B22DAFFE}">
  <dimension ref="A1:T189"/>
  <sheetViews>
    <sheetView workbookViewId="0">
      <selection activeCell="N9" sqref="N9"/>
    </sheetView>
  </sheetViews>
  <sheetFormatPr defaultRowHeight="14.4" x14ac:dyDescent="0.3"/>
  <cols>
    <col min="1" max="1" width="28.77734375" style="14" bestFit="1" customWidth="1"/>
    <col min="2" max="2" width="11.6640625" style="2" customWidth="1"/>
    <col min="3" max="3" width="8.6640625" style="2" customWidth="1"/>
    <col min="4" max="4" width="11.6640625" style="2" customWidth="1"/>
    <col min="5" max="5" width="9" style="2" customWidth="1"/>
    <col min="6" max="6" width="16.6640625" style="3" bestFit="1" customWidth="1"/>
    <col min="7" max="7" width="16.6640625" style="13" customWidth="1"/>
    <col min="8" max="8" width="17.21875" style="4" customWidth="1"/>
    <col min="9" max="9" width="17.44140625" customWidth="1"/>
    <col min="10" max="10" width="21.109375" customWidth="1"/>
    <col min="11" max="11" width="13.88671875" customWidth="1"/>
    <col min="12" max="12" width="12.33203125" bestFit="1" customWidth="1"/>
    <col min="14" max="14" width="12" bestFit="1" customWidth="1"/>
  </cols>
  <sheetData>
    <row r="1" spans="1:20" s="67" customFormat="1" ht="18" customHeight="1" x14ac:dyDescent="0.3">
      <c r="A1" s="62" t="s">
        <v>0</v>
      </c>
      <c r="B1" s="63" t="s">
        <v>1</v>
      </c>
      <c r="C1" s="63" t="s">
        <v>2</v>
      </c>
      <c r="D1" s="63" t="s">
        <v>3</v>
      </c>
      <c r="E1" s="63" t="s">
        <v>4</v>
      </c>
      <c r="F1" s="64" t="s">
        <v>192</v>
      </c>
      <c r="G1" s="65" t="s">
        <v>193</v>
      </c>
      <c r="H1" s="66" t="s">
        <v>194</v>
      </c>
      <c r="I1" s="67" t="s">
        <v>202</v>
      </c>
      <c r="J1" s="67" t="s">
        <v>203</v>
      </c>
      <c r="K1" s="67" t="s">
        <v>204</v>
      </c>
      <c r="L1" s="67" t="s">
        <v>205</v>
      </c>
      <c r="M1"/>
      <c r="N1"/>
      <c r="O1"/>
      <c r="P1"/>
      <c r="Q1"/>
      <c r="R1"/>
      <c r="S1"/>
      <c r="T1"/>
    </row>
    <row r="2" spans="1:20" ht="18" customHeight="1" x14ac:dyDescent="0.3">
      <c r="A2" s="17" t="s">
        <v>176</v>
      </c>
      <c r="B2" s="9">
        <v>4290259</v>
      </c>
      <c r="C2" s="9">
        <v>148011</v>
      </c>
      <c r="D2" s="9">
        <v>1325804</v>
      </c>
      <c r="E2" s="9">
        <v>2816444</v>
      </c>
      <c r="F2" s="9">
        <v>331198130</v>
      </c>
      <c r="G2" s="6" t="s">
        <v>198</v>
      </c>
      <c r="H2" s="10">
        <v>43851</v>
      </c>
      <c r="I2" s="15">
        <f t="shared" ref="I2:I33" si="0">C2/B2</f>
        <v>3.4499315775574385E-2</v>
      </c>
      <c r="J2" s="15">
        <f t="shared" ref="J2:J33" si="1">D2/B2</f>
        <v>0.30902656459668287</v>
      </c>
      <c r="K2" s="15">
        <f t="shared" ref="K2:K33" si="2">B2/F2</f>
        <v>1.2953753694201112E-2</v>
      </c>
      <c r="L2" t="str" cm="1">
        <f t="array" ref="L2">_xlfn.IFS(I2&gt;5%,"High Risk",I2&lt;2%,"Low Risk",I2&gt;=2%,"Moderate Risk")</f>
        <v>Moderate Risk</v>
      </c>
    </row>
    <row r="3" spans="1:20" ht="18" customHeight="1" x14ac:dyDescent="0.3">
      <c r="A3" s="17" t="s">
        <v>28</v>
      </c>
      <c r="B3" s="9">
        <v>2442375</v>
      </c>
      <c r="C3" s="9">
        <v>87618</v>
      </c>
      <c r="D3" s="9">
        <v>1846641</v>
      </c>
      <c r="E3" s="9">
        <v>508116</v>
      </c>
      <c r="F3" s="9">
        <v>212710692</v>
      </c>
      <c r="G3" s="6" t="s">
        <v>199</v>
      </c>
      <c r="H3" s="10">
        <v>43887</v>
      </c>
      <c r="I3" s="15">
        <f t="shared" si="0"/>
        <v>3.5874097957930291E-2</v>
      </c>
      <c r="J3" s="15">
        <f t="shared" si="1"/>
        <v>0.75608413941348074</v>
      </c>
      <c r="K3" s="15">
        <f t="shared" si="2"/>
        <v>1.1482144959596107E-2</v>
      </c>
      <c r="L3" t="str" cm="1">
        <f t="array" ref="L3">_xlfn.IFS(I3&gt;5%,"High Risk",I3&lt;2%,"Low Risk",I3&gt;=2%,"Moderate Risk")</f>
        <v>Moderate Risk</v>
      </c>
    </row>
    <row r="4" spans="1:20" ht="18" customHeight="1" x14ac:dyDescent="0.3">
      <c r="A4" s="17" t="s">
        <v>83</v>
      </c>
      <c r="B4" s="9">
        <v>1480073</v>
      </c>
      <c r="C4" s="9">
        <v>33408</v>
      </c>
      <c r="D4" s="9">
        <v>951166</v>
      </c>
      <c r="E4" s="9">
        <v>495499</v>
      </c>
      <c r="F4" s="9">
        <v>1381344997</v>
      </c>
      <c r="G4" s="6" t="s">
        <v>195</v>
      </c>
      <c r="H4" s="10">
        <v>43860</v>
      </c>
      <c r="I4" s="15">
        <f t="shared" si="0"/>
        <v>2.2571859631247918E-2</v>
      </c>
      <c r="J4" s="15">
        <f t="shared" si="1"/>
        <v>0.64264803154979522</v>
      </c>
      <c r="K4" s="15">
        <f t="shared" si="2"/>
        <v>1.0714723716482247E-3</v>
      </c>
      <c r="L4" t="str" cm="1">
        <f t="array" ref="L4">_xlfn.IFS(I4&gt;5%,"High Risk",I4&lt;2%,"Low Risk",I4&gt;=2%,"Moderate Risk")</f>
        <v>Moderate Risk</v>
      </c>
    </row>
    <row r="5" spans="1:20" ht="18" customHeight="1" x14ac:dyDescent="0.3">
      <c r="A5" s="16" t="s">
        <v>142</v>
      </c>
      <c r="B5" s="7">
        <v>816680</v>
      </c>
      <c r="C5" s="7">
        <v>13334</v>
      </c>
      <c r="D5" s="7">
        <v>602249</v>
      </c>
      <c r="E5" s="7">
        <v>201097</v>
      </c>
      <c r="F5" s="7">
        <v>145940924</v>
      </c>
      <c r="G5" s="5" t="s">
        <v>196</v>
      </c>
      <c r="H5" s="8">
        <v>43861</v>
      </c>
      <c r="I5" s="15">
        <f t="shared" si="0"/>
        <v>1.6327080374197972E-2</v>
      </c>
      <c r="J5" s="15">
        <f t="shared" si="1"/>
        <v>0.73743571533525987</v>
      </c>
      <c r="K5" s="15">
        <f t="shared" si="2"/>
        <v>5.5959629253820543E-3</v>
      </c>
      <c r="L5" t="str" cm="1">
        <f t="array" ref="L5">_xlfn.IFS(I5&gt;5%,"High Risk",I5&lt;2%,"Low Risk",I5&gt;=2%,"Moderate Risk")</f>
        <v>Low Risk</v>
      </c>
    </row>
    <row r="6" spans="1:20" ht="18" customHeight="1" x14ac:dyDescent="0.3">
      <c r="A6" s="16" t="s">
        <v>158</v>
      </c>
      <c r="B6" s="7">
        <v>452529</v>
      </c>
      <c r="C6" s="7">
        <v>7067</v>
      </c>
      <c r="D6" s="7">
        <v>274925</v>
      </c>
      <c r="E6" s="7">
        <v>170537</v>
      </c>
      <c r="F6" s="7">
        <v>59381566</v>
      </c>
      <c r="G6" s="5" t="s">
        <v>197</v>
      </c>
      <c r="H6" s="8">
        <v>43895</v>
      </c>
      <c r="I6" s="15">
        <f t="shared" si="0"/>
        <v>1.5616678710093718E-2</v>
      </c>
      <c r="J6" s="15">
        <f t="shared" si="1"/>
        <v>0.60753012514115112</v>
      </c>
      <c r="K6" s="15">
        <f t="shared" si="2"/>
        <v>7.6206983157028904E-3</v>
      </c>
      <c r="L6" t="str" cm="1">
        <f t="array" ref="L6">_xlfn.IFS(I6&gt;5%,"High Risk",I6&lt;2%,"Low Risk",I6&gt;=2%,"Moderate Risk")</f>
        <v>Low Risk</v>
      </c>
    </row>
    <row r="7" spans="1:20" ht="18" customHeight="1" x14ac:dyDescent="0.3">
      <c r="A7" s="18" t="s">
        <v>115</v>
      </c>
      <c r="B7" s="51">
        <v>395489</v>
      </c>
      <c r="C7" s="51">
        <v>44022</v>
      </c>
      <c r="D7" s="51">
        <v>303810</v>
      </c>
      <c r="E7" s="51">
        <v>47657</v>
      </c>
      <c r="F7" s="51">
        <v>129066160</v>
      </c>
      <c r="G7" s="52" t="s">
        <v>198</v>
      </c>
      <c r="H7" s="53">
        <v>43889</v>
      </c>
      <c r="I7" s="54">
        <f t="shared" si="0"/>
        <v>0.11131030193001576</v>
      </c>
      <c r="J7" s="54">
        <f t="shared" si="1"/>
        <v>0.7681882429094109</v>
      </c>
      <c r="K7" s="54">
        <f t="shared" si="2"/>
        <v>3.0642346529872739E-3</v>
      </c>
      <c r="L7" s="50" t="str" cm="1">
        <f t="array" ref="L7">_xlfn.IFS(I7&gt;5%,"High Risk",I7&lt;2%,"Low Risk",I7&gt;=2%,"Moderate Risk")</f>
        <v>High Risk</v>
      </c>
    </row>
    <row r="8" spans="1:20" ht="18" customHeight="1" x14ac:dyDescent="0.3">
      <c r="A8" s="16" t="s">
        <v>136</v>
      </c>
      <c r="B8" s="7">
        <v>389717</v>
      </c>
      <c r="C8" s="7">
        <v>18418</v>
      </c>
      <c r="D8" s="7">
        <v>272547</v>
      </c>
      <c r="E8" s="7">
        <v>98752</v>
      </c>
      <c r="F8" s="7">
        <v>33016319</v>
      </c>
      <c r="G8" s="5" t="s">
        <v>199</v>
      </c>
      <c r="H8" s="8">
        <v>43896</v>
      </c>
      <c r="I8" s="15">
        <f t="shared" si="0"/>
        <v>4.7259934773181564E-2</v>
      </c>
      <c r="J8" s="15">
        <f t="shared" si="1"/>
        <v>0.69934593564047753</v>
      </c>
      <c r="K8" s="15">
        <f t="shared" si="2"/>
        <v>1.180376891803111E-2</v>
      </c>
      <c r="L8" t="str" cm="1">
        <f t="array" ref="L8">_xlfn.IFS(I8&gt;5%,"High Risk",I8&lt;2%,"Low Risk",I8&gt;=2%,"Moderate Risk")</f>
        <v>Moderate Risk</v>
      </c>
    </row>
    <row r="9" spans="1:20" ht="18" customHeight="1" x14ac:dyDescent="0.3">
      <c r="A9" s="17" t="s">
        <v>39</v>
      </c>
      <c r="B9" s="9">
        <v>347923</v>
      </c>
      <c r="C9" s="9">
        <v>9187</v>
      </c>
      <c r="D9" s="9">
        <v>319954</v>
      </c>
      <c r="E9" s="9">
        <v>18782</v>
      </c>
      <c r="F9" s="9">
        <v>19132514</v>
      </c>
      <c r="G9" s="6" t="s">
        <v>199</v>
      </c>
      <c r="H9" s="10">
        <v>43893</v>
      </c>
      <c r="I9" s="15">
        <f t="shared" si="0"/>
        <v>2.6405267832250241E-2</v>
      </c>
      <c r="J9" s="15">
        <f t="shared" si="1"/>
        <v>0.91961152323933748</v>
      </c>
      <c r="K9" s="15">
        <f t="shared" si="2"/>
        <v>1.8184907639424697E-2</v>
      </c>
      <c r="L9" t="str" cm="1">
        <f t="array" ref="L9">_xlfn.IFS(I9&gt;5%,"High Risk",I9&lt;2%,"Low Risk",I9&gt;=2%,"Moderate Risk")</f>
        <v>Moderate Risk</v>
      </c>
    </row>
    <row r="10" spans="1:20" ht="18" customHeight="1" x14ac:dyDescent="0.3">
      <c r="A10" s="18" t="s">
        <v>180</v>
      </c>
      <c r="B10" s="51">
        <v>301708</v>
      </c>
      <c r="C10" s="51">
        <v>45844</v>
      </c>
      <c r="D10" s="51">
        <v>1437</v>
      </c>
      <c r="E10" s="51">
        <v>254427</v>
      </c>
      <c r="F10" s="51">
        <v>67922029</v>
      </c>
      <c r="G10" s="52" t="s">
        <v>196</v>
      </c>
      <c r="H10" s="53">
        <v>43861</v>
      </c>
      <c r="I10" s="54">
        <f t="shared" si="0"/>
        <v>0.15194824134593712</v>
      </c>
      <c r="J10" s="54">
        <f t="shared" si="1"/>
        <v>4.7628833176448756E-3</v>
      </c>
      <c r="K10" s="54">
        <f t="shared" si="2"/>
        <v>4.4419756659507328E-3</v>
      </c>
      <c r="L10" s="50" t="str" cm="1">
        <f t="array" ref="L10">_xlfn.IFS(I10&gt;5%,"High Risk",I10&lt;2%,"Low Risk",I10&gt;=2%,"Moderate Risk")</f>
        <v>High Risk</v>
      </c>
    </row>
    <row r="11" spans="1:20" ht="18" customHeight="1" x14ac:dyDescent="0.3">
      <c r="A11" s="18" t="s">
        <v>85</v>
      </c>
      <c r="B11" s="51">
        <v>293606</v>
      </c>
      <c r="C11" s="51">
        <v>15912</v>
      </c>
      <c r="D11" s="51">
        <v>255144</v>
      </c>
      <c r="E11" s="51">
        <v>22550</v>
      </c>
      <c r="F11" s="51">
        <v>84097623</v>
      </c>
      <c r="G11" s="52" t="s">
        <v>195</v>
      </c>
      <c r="H11" s="53">
        <v>43880</v>
      </c>
      <c r="I11" s="54">
        <f t="shared" si="0"/>
        <v>5.4195077757266542E-2</v>
      </c>
      <c r="J11" s="54">
        <f t="shared" si="1"/>
        <v>0.86900131468702957</v>
      </c>
      <c r="K11" s="54">
        <f t="shared" si="2"/>
        <v>3.4912520654715772E-3</v>
      </c>
      <c r="L11" s="50" t="str" cm="1">
        <f t="array" ref="L11">_xlfn.IFS(I11&gt;5%,"High Risk",I11&lt;2%,"Low Risk",I11&gt;=2%,"Moderate Risk")</f>
        <v>High Risk</v>
      </c>
    </row>
    <row r="12" spans="1:20" ht="18" customHeight="1" x14ac:dyDescent="0.3">
      <c r="A12" s="16" t="s">
        <v>132</v>
      </c>
      <c r="B12" s="7">
        <v>274289</v>
      </c>
      <c r="C12" s="7">
        <v>5842</v>
      </c>
      <c r="D12" s="7">
        <v>241026</v>
      </c>
      <c r="E12" s="7">
        <v>27421</v>
      </c>
      <c r="F12" s="7">
        <v>221295851</v>
      </c>
      <c r="G12" s="5" t="s">
        <v>195</v>
      </c>
      <c r="H12" s="8">
        <v>43887</v>
      </c>
      <c r="I12" s="15">
        <f t="shared" si="0"/>
        <v>2.1298703192618004E-2</v>
      </c>
      <c r="J12" s="15">
        <f t="shared" si="1"/>
        <v>0.8787300985456945</v>
      </c>
      <c r="K12" s="15">
        <f t="shared" si="2"/>
        <v>1.2394674313166406E-3</v>
      </c>
      <c r="L12" t="str" cm="1">
        <f t="array" ref="L12">_xlfn.IFS(I12&gt;5%,"High Risk",I12&lt;2%,"Low Risk",I12&gt;=2%,"Moderate Risk")</f>
        <v>Moderate Risk</v>
      </c>
    </row>
    <row r="13" spans="1:20" ht="18" customHeight="1" x14ac:dyDescent="0.3">
      <c r="A13" s="18" t="s">
        <v>161</v>
      </c>
      <c r="B13" s="51">
        <v>272421</v>
      </c>
      <c r="C13" s="51">
        <v>28432</v>
      </c>
      <c r="D13" s="51">
        <v>150376</v>
      </c>
      <c r="E13" s="51">
        <v>93613</v>
      </c>
      <c r="F13" s="51">
        <v>46756648</v>
      </c>
      <c r="G13" s="52" t="s">
        <v>196</v>
      </c>
      <c r="H13" s="53">
        <v>43861</v>
      </c>
      <c r="I13" s="54">
        <f t="shared" si="0"/>
        <v>0.10436787178668311</v>
      </c>
      <c r="J13" s="54">
        <f t="shared" si="1"/>
        <v>0.55199856105072664</v>
      </c>
      <c r="K13" s="54">
        <f t="shared" si="2"/>
        <v>5.8263586388827534E-3</v>
      </c>
      <c r="L13" s="50" t="str" cm="1">
        <f t="array" ref="L13">_xlfn.IFS(I13&gt;5%,"High Risk",I13&lt;2%,"Low Risk",I13&gt;=2%,"Moderate Risk")</f>
        <v>High Risk</v>
      </c>
    </row>
    <row r="14" spans="1:20" ht="18" customHeight="1" x14ac:dyDescent="0.3">
      <c r="A14" s="17" t="s">
        <v>149</v>
      </c>
      <c r="B14" s="9">
        <v>268934</v>
      </c>
      <c r="C14" s="9">
        <v>2760</v>
      </c>
      <c r="D14" s="9">
        <v>222936</v>
      </c>
      <c r="E14" s="9">
        <v>43238</v>
      </c>
      <c r="F14" s="9">
        <v>34865919</v>
      </c>
      <c r="G14" s="6" t="s">
        <v>195</v>
      </c>
      <c r="H14" s="10">
        <v>43892</v>
      </c>
      <c r="I14" s="15">
        <f t="shared" si="0"/>
        <v>1.0262741044271086E-2</v>
      </c>
      <c r="J14" s="15">
        <f t="shared" si="1"/>
        <v>0.8289617526976879</v>
      </c>
      <c r="K14" s="15">
        <f t="shared" si="2"/>
        <v>7.7133776396371484E-3</v>
      </c>
      <c r="L14" t="str" cm="1">
        <f t="array" ref="L14">_xlfn.IFS(I14&gt;5%,"High Risk",I14&lt;2%,"Low Risk",I14&gt;=2%,"Moderate Risk")</f>
        <v>Low Risk</v>
      </c>
    </row>
    <row r="15" spans="1:20" ht="18" customHeight="1" x14ac:dyDescent="0.3">
      <c r="A15" s="17" t="s">
        <v>41</v>
      </c>
      <c r="B15" s="9">
        <v>257101</v>
      </c>
      <c r="C15" s="9">
        <v>8777</v>
      </c>
      <c r="D15" s="9">
        <v>131161</v>
      </c>
      <c r="E15" s="9">
        <v>117163</v>
      </c>
      <c r="F15" s="9">
        <v>50936262</v>
      </c>
      <c r="G15" s="6" t="s">
        <v>199</v>
      </c>
      <c r="H15" s="10">
        <v>43896</v>
      </c>
      <c r="I15" s="15">
        <f t="shared" si="0"/>
        <v>3.4138334740043796E-2</v>
      </c>
      <c r="J15" s="15">
        <f t="shared" si="1"/>
        <v>0.51015359722443709</v>
      </c>
      <c r="K15" s="15">
        <f t="shared" si="2"/>
        <v>5.0475042711222119E-3</v>
      </c>
      <c r="L15" t="str" cm="1">
        <f t="array" ref="L15">_xlfn.IFS(I15&gt;5%,"High Risk",I15&lt;2%,"Low Risk",I15&gt;=2%,"Moderate Risk")</f>
        <v>Moderate Risk</v>
      </c>
    </row>
    <row r="16" spans="1:20" ht="18" customHeight="1" x14ac:dyDescent="0.3">
      <c r="A16" s="18" t="s">
        <v>89</v>
      </c>
      <c r="B16" s="51">
        <v>246286</v>
      </c>
      <c r="C16" s="51">
        <v>35112</v>
      </c>
      <c r="D16" s="51">
        <v>198593</v>
      </c>
      <c r="E16" s="51">
        <v>12581</v>
      </c>
      <c r="F16" s="51">
        <v>60452568</v>
      </c>
      <c r="G16" s="52" t="s">
        <v>196</v>
      </c>
      <c r="H16" s="53">
        <v>43861</v>
      </c>
      <c r="I16" s="54">
        <f t="shared" si="0"/>
        <v>0.14256595990027854</v>
      </c>
      <c r="J16" s="54">
        <f t="shared" si="1"/>
        <v>0.80635115272488078</v>
      </c>
      <c r="K16" s="54">
        <f t="shared" si="2"/>
        <v>4.0740370202304726E-3</v>
      </c>
      <c r="L16" s="50" t="str" cm="1">
        <f t="array" ref="L16">_xlfn.IFS(I16&gt;5%,"High Risk",I16&lt;2%,"Low Risk",I16&gt;=2%,"Moderate Risk")</f>
        <v>High Risk</v>
      </c>
    </row>
    <row r="17" spans="1:12" ht="18" customHeight="1" x14ac:dyDescent="0.3">
      <c r="A17" s="16" t="s">
        <v>175</v>
      </c>
      <c r="B17" s="7">
        <v>227019</v>
      </c>
      <c r="C17" s="7">
        <v>5630</v>
      </c>
      <c r="D17" s="7">
        <v>210469</v>
      </c>
      <c r="E17" s="7">
        <v>10920</v>
      </c>
      <c r="F17" s="7">
        <v>84428331</v>
      </c>
      <c r="G17" s="5" t="s">
        <v>195</v>
      </c>
      <c r="H17" s="8">
        <v>43901</v>
      </c>
      <c r="I17" s="15">
        <f t="shared" si="0"/>
        <v>2.4799686369863315E-2</v>
      </c>
      <c r="J17" s="15">
        <f t="shared" si="1"/>
        <v>0.92709861289143203</v>
      </c>
      <c r="K17" s="15">
        <f t="shared" si="2"/>
        <v>2.6888959820844972E-3</v>
      </c>
      <c r="L17" t="str" cm="1">
        <f t="array" ref="L17">_xlfn.IFS(I17&gt;5%,"High Risk",I17&lt;2%,"Low Risk",I17&gt;=2%,"Moderate Risk")</f>
        <v>Moderate Risk</v>
      </c>
    </row>
    <row r="18" spans="1:12" ht="18" customHeight="1" x14ac:dyDescent="0.3">
      <c r="A18" s="17" t="s">
        <v>18</v>
      </c>
      <c r="B18" s="9">
        <v>226225</v>
      </c>
      <c r="C18" s="9">
        <v>2965</v>
      </c>
      <c r="D18" s="9">
        <v>125683</v>
      </c>
      <c r="E18" s="9">
        <v>97577</v>
      </c>
      <c r="F18" s="9">
        <v>164851401</v>
      </c>
      <c r="G18" s="6" t="s">
        <v>195</v>
      </c>
      <c r="H18" s="10">
        <v>43898</v>
      </c>
      <c r="I18" s="15">
        <f t="shared" si="0"/>
        <v>1.3106420598961211E-2</v>
      </c>
      <c r="J18" s="15">
        <f t="shared" si="1"/>
        <v>0.55556636092385903</v>
      </c>
      <c r="K18" s="15">
        <f t="shared" si="2"/>
        <v>1.3722964962851604E-3</v>
      </c>
      <c r="L18" t="str" cm="1">
        <f t="array" ref="L18">_xlfn.IFS(I18&gt;5%,"High Risk",I18&lt;2%,"Low Risk",I18&gt;=2%,"Moderate Risk")</f>
        <v>Low Risk</v>
      </c>
    </row>
    <row r="19" spans="1:12" ht="18" customHeight="1" x14ac:dyDescent="0.3">
      <c r="A19" s="18" t="s">
        <v>65</v>
      </c>
      <c r="B19" s="51">
        <v>220352</v>
      </c>
      <c r="C19" s="51">
        <v>30212</v>
      </c>
      <c r="D19" s="51">
        <v>81212</v>
      </c>
      <c r="E19" s="51">
        <v>108928</v>
      </c>
      <c r="F19" s="51">
        <v>65288306</v>
      </c>
      <c r="G19" s="52" t="s">
        <v>196</v>
      </c>
      <c r="H19" s="53">
        <v>43826</v>
      </c>
      <c r="I19" s="54">
        <f t="shared" si="0"/>
        <v>0.13710790008713331</v>
      </c>
      <c r="J19" s="54">
        <f t="shared" si="1"/>
        <v>0.36855576532094103</v>
      </c>
      <c r="K19" s="54">
        <f t="shared" si="2"/>
        <v>3.3750607650932158E-3</v>
      </c>
      <c r="L19" s="50" t="str" cm="1">
        <f t="array" ref="L19">_xlfn.IFS(I19&gt;5%,"High Risk",I19&lt;2%,"Low Risk",I19&gt;=2%,"Moderate Risk")</f>
        <v>High Risk</v>
      </c>
    </row>
    <row r="20" spans="1:12" ht="18" customHeight="1" x14ac:dyDescent="0.3">
      <c r="A20" s="17" t="s">
        <v>69</v>
      </c>
      <c r="B20" s="9">
        <v>207112</v>
      </c>
      <c r="C20" s="9">
        <v>9125</v>
      </c>
      <c r="D20" s="9">
        <v>190314</v>
      </c>
      <c r="E20" s="9">
        <v>7673</v>
      </c>
      <c r="F20" s="9">
        <v>83811260</v>
      </c>
      <c r="G20" s="6" t="s">
        <v>196</v>
      </c>
      <c r="H20" s="10">
        <v>43857</v>
      </c>
      <c r="I20" s="15">
        <f t="shared" si="0"/>
        <v>4.4058287303487965E-2</v>
      </c>
      <c r="J20" s="15">
        <f t="shared" si="1"/>
        <v>0.91889412491791878</v>
      </c>
      <c r="K20" s="15">
        <f t="shared" si="2"/>
        <v>2.4711715347078664E-3</v>
      </c>
      <c r="L20" t="str" cm="1">
        <f t="array" ref="L20">_xlfn.IFS(I20&gt;5%,"High Risk",I20&lt;2%,"Low Risk",I20&gt;=2%,"Moderate Risk")</f>
        <v>Moderate Risk</v>
      </c>
    </row>
    <row r="21" spans="1:12" ht="18" customHeight="1" x14ac:dyDescent="0.3">
      <c r="A21" s="16" t="s">
        <v>11</v>
      </c>
      <c r="B21" s="7">
        <v>167416</v>
      </c>
      <c r="C21" s="7">
        <v>3059</v>
      </c>
      <c r="D21" s="7">
        <v>72575</v>
      </c>
      <c r="E21" s="7">
        <v>91782</v>
      </c>
      <c r="F21" s="7">
        <v>45236884</v>
      </c>
      <c r="G21" s="5" t="s">
        <v>199</v>
      </c>
      <c r="H21" s="8">
        <v>43893</v>
      </c>
      <c r="I21" s="15">
        <f t="shared" si="0"/>
        <v>1.8271849763463469E-2</v>
      </c>
      <c r="J21" s="15">
        <f t="shared" si="1"/>
        <v>0.43350097959573758</v>
      </c>
      <c r="K21" s="15">
        <f t="shared" si="2"/>
        <v>3.7008738267649026E-3</v>
      </c>
      <c r="L21" t="str" cm="1">
        <f t="array" ref="L21">_xlfn.IFS(I21&gt;5%,"High Risk",I21&lt;2%,"Low Risk",I21&gt;=2%,"Moderate Risk")</f>
        <v>Low Risk</v>
      </c>
    </row>
    <row r="22" spans="1:12" ht="18" customHeight="1" x14ac:dyDescent="0.3">
      <c r="A22" s="19" t="s">
        <v>36</v>
      </c>
      <c r="B22" s="55">
        <v>116458</v>
      </c>
      <c r="C22" s="55">
        <v>8944</v>
      </c>
      <c r="D22" s="55">
        <v>0</v>
      </c>
      <c r="E22" s="55">
        <v>107514</v>
      </c>
      <c r="F22" s="55">
        <v>37775022</v>
      </c>
      <c r="G22" s="56" t="s">
        <v>198</v>
      </c>
      <c r="H22" s="57">
        <v>43855</v>
      </c>
      <c r="I22" s="54">
        <f t="shared" si="0"/>
        <v>7.6800219821738305E-2</v>
      </c>
      <c r="J22" s="54">
        <f t="shared" si="1"/>
        <v>0</v>
      </c>
      <c r="K22" s="54">
        <f t="shared" si="2"/>
        <v>3.0829366558674672E-3</v>
      </c>
      <c r="L22" s="50" t="str" cm="1">
        <f t="array" ref="L22">_xlfn.IFS(I22&gt;5%,"High Risk",I22&lt;2%,"Low Risk",I22&gt;=2%,"Moderate Risk")</f>
        <v>High Risk</v>
      </c>
    </row>
    <row r="23" spans="1:12" ht="18" customHeight="1" x14ac:dyDescent="0.3">
      <c r="A23" s="16" t="s">
        <v>86</v>
      </c>
      <c r="B23" s="7">
        <v>112585</v>
      </c>
      <c r="C23" s="7">
        <v>4458</v>
      </c>
      <c r="D23" s="7">
        <v>77144</v>
      </c>
      <c r="E23" s="7">
        <v>30983</v>
      </c>
      <c r="F23" s="7">
        <v>40306025</v>
      </c>
      <c r="G23" s="5" t="s">
        <v>195</v>
      </c>
      <c r="H23" s="8">
        <v>43883</v>
      </c>
      <c r="I23" s="15">
        <f t="shared" si="0"/>
        <v>3.9596749122884932E-2</v>
      </c>
      <c r="J23" s="15">
        <f t="shared" si="1"/>
        <v>0.68520673269085575</v>
      </c>
      <c r="K23" s="15">
        <f t="shared" si="2"/>
        <v>2.7932548545781927E-3</v>
      </c>
      <c r="L23" t="str" cm="1">
        <f t="array" ref="L23">_xlfn.IFS(I23&gt;5%,"High Risk",I23&lt;2%,"Low Risk",I23&gt;=2%,"Moderate Risk")</f>
        <v>Moderate Risk</v>
      </c>
    </row>
    <row r="24" spans="1:12" ht="18" customHeight="1" x14ac:dyDescent="0.3">
      <c r="A24" s="16" t="s">
        <v>140</v>
      </c>
      <c r="B24" s="7">
        <v>109597</v>
      </c>
      <c r="C24" s="7">
        <v>165</v>
      </c>
      <c r="D24" s="7">
        <v>106328</v>
      </c>
      <c r="E24" s="7">
        <v>3104</v>
      </c>
      <c r="F24" s="7">
        <v>2807805</v>
      </c>
      <c r="G24" s="5" t="s">
        <v>195</v>
      </c>
      <c r="H24" s="8">
        <v>43888</v>
      </c>
      <c r="I24" s="15">
        <f t="shared" si="0"/>
        <v>1.5055156619250528E-3</v>
      </c>
      <c r="J24" s="15">
        <f t="shared" si="1"/>
        <v>0.97017254121919394</v>
      </c>
      <c r="K24" s="15">
        <f t="shared" si="2"/>
        <v>3.9032981278970584E-2</v>
      </c>
      <c r="L24" t="str" cm="1">
        <f t="array" ref="L24">_xlfn.IFS(I24&gt;5%,"High Risk",I24&lt;2%,"Low Risk",I24&gt;=2%,"Moderate Risk")</f>
        <v>Low Risk</v>
      </c>
    </row>
    <row r="25" spans="1:12" ht="18" customHeight="1" x14ac:dyDescent="0.3">
      <c r="A25" s="16" t="s">
        <v>84</v>
      </c>
      <c r="B25" s="7">
        <v>100303</v>
      </c>
      <c r="C25" s="7">
        <v>4838</v>
      </c>
      <c r="D25" s="7">
        <v>58173</v>
      </c>
      <c r="E25" s="7">
        <v>37292</v>
      </c>
      <c r="F25" s="7">
        <v>273808365</v>
      </c>
      <c r="G25" s="5" t="s">
        <v>195</v>
      </c>
      <c r="H25" s="8">
        <v>43892</v>
      </c>
      <c r="I25" s="15">
        <f t="shared" si="0"/>
        <v>4.8233851430166598E-2</v>
      </c>
      <c r="J25" s="15">
        <f t="shared" si="1"/>
        <v>0.57997268277120329</v>
      </c>
      <c r="K25" s="15">
        <f t="shared" si="2"/>
        <v>3.6632555035343787E-4</v>
      </c>
      <c r="L25" t="str" cm="1">
        <f t="array" ref="L25">_xlfn.IFS(I25&gt;5%,"High Risk",I25&lt;2%,"Low Risk",I25&gt;=2%,"Moderate Risk")</f>
        <v>Moderate Risk</v>
      </c>
    </row>
    <row r="26" spans="1:12" ht="18" customHeight="1" x14ac:dyDescent="0.3">
      <c r="A26" s="19" t="s">
        <v>56</v>
      </c>
      <c r="B26" s="55">
        <v>92482</v>
      </c>
      <c r="C26" s="55">
        <v>4652</v>
      </c>
      <c r="D26" s="55">
        <v>34838</v>
      </c>
      <c r="E26" s="55">
        <v>52992</v>
      </c>
      <c r="F26" s="55">
        <v>102516525</v>
      </c>
      <c r="G26" s="56" t="s">
        <v>197</v>
      </c>
      <c r="H26" s="57">
        <v>43875</v>
      </c>
      <c r="I26" s="54">
        <f t="shared" si="0"/>
        <v>5.0301680326982547E-2</v>
      </c>
      <c r="J26" s="54">
        <f t="shared" si="1"/>
        <v>0.37670033087519733</v>
      </c>
      <c r="K26" s="54">
        <f t="shared" si="2"/>
        <v>9.0211797561417541E-4</v>
      </c>
      <c r="L26" s="50" t="str" cm="1">
        <f t="array" ref="L26">_xlfn.IFS(I26&gt;5%,"High Risk",I26&lt;2%,"Low Risk",I26&gt;=2%,"Moderate Risk")</f>
        <v>High Risk</v>
      </c>
    </row>
    <row r="27" spans="1:12" ht="18" customHeight="1" x14ac:dyDescent="0.3">
      <c r="A27" s="19" t="s">
        <v>40</v>
      </c>
      <c r="B27" s="55">
        <v>86783</v>
      </c>
      <c r="C27" s="55">
        <v>4656</v>
      </c>
      <c r="D27" s="55">
        <v>78869</v>
      </c>
      <c r="E27" s="55">
        <v>3258</v>
      </c>
      <c r="F27" s="58">
        <v>1411778724</v>
      </c>
      <c r="G27" s="56" t="s">
        <v>195</v>
      </c>
      <c r="H27" s="57">
        <v>43786</v>
      </c>
      <c r="I27" s="54">
        <f t="shared" si="0"/>
        <v>5.365106069161011E-2</v>
      </c>
      <c r="J27" s="54">
        <f t="shared" si="1"/>
        <v>0.90880702441722461</v>
      </c>
      <c r="K27" s="54">
        <f t="shared" si="2"/>
        <v>6.1470681293536756E-5</v>
      </c>
      <c r="L27" s="50" t="str" cm="1">
        <f t="array" ref="L27">_xlfn.IFS(I27&gt;5%,"High Risk",I27&lt;2%,"Low Risk",I27&gt;=2%,"Moderate Risk")</f>
        <v>High Risk</v>
      </c>
    </row>
    <row r="28" spans="1:12" ht="18" customHeight="1" x14ac:dyDescent="0.3">
      <c r="A28" s="17" t="s">
        <v>93</v>
      </c>
      <c r="B28" s="9">
        <v>84648</v>
      </c>
      <c r="C28" s="9">
        <v>585</v>
      </c>
      <c r="D28" s="9">
        <v>54404</v>
      </c>
      <c r="E28" s="9">
        <v>29659</v>
      </c>
      <c r="F28" s="9">
        <v>18798667</v>
      </c>
      <c r="G28" s="6" t="s">
        <v>195</v>
      </c>
      <c r="H28" s="10">
        <v>43903</v>
      </c>
      <c r="I28" s="15">
        <f t="shared" si="0"/>
        <v>6.9109724978735467E-3</v>
      </c>
      <c r="J28" s="15">
        <f t="shared" si="1"/>
        <v>0.64270862867403833</v>
      </c>
      <c r="K28" s="15">
        <f t="shared" si="2"/>
        <v>4.5028724643082409E-3</v>
      </c>
      <c r="L28" t="str" cm="1">
        <f t="array" ref="L28">_xlfn.IFS(I28&gt;5%,"High Risk",I28&lt;2%,"Low Risk",I28&gt;=2%,"Moderate Risk")</f>
        <v>Low Risk</v>
      </c>
    </row>
    <row r="29" spans="1:12" ht="18" customHeight="1" x14ac:dyDescent="0.3">
      <c r="A29" s="17" t="s">
        <v>137</v>
      </c>
      <c r="B29" s="9">
        <v>82040</v>
      </c>
      <c r="C29" s="9">
        <v>1945</v>
      </c>
      <c r="D29" s="9">
        <v>26446</v>
      </c>
      <c r="E29" s="9">
        <v>53649</v>
      </c>
      <c r="F29" s="9">
        <v>109722719</v>
      </c>
      <c r="G29" s="6" t="s">
        <v>195</v>
      </c>
      <c r="H29" s="10">
        <v>43860</v>
      </c>
      <c r="I29" s="15">
        <f t="shared" si="0"/>
        <v>2.370794734275963E-2</v>
      </c>
      <c r="J29" s="15">
        <f t="shared" si="1"/>
        <v>0.32235494880546073</v>
      </c>
      <c r="K29" s="15">
        <f t="shared" si="2"/>
        <v>7.4770294381786148E-4</v>
      </c>
      <c r="L29" t="str" cm="1">
        <f t="array" ref="L29">_xlfn.IFS(I29&gt;5%,"High Risk",I29&lt;2%,"Low Risk",I29&gt;=2%,"Moderate Risk")</f>
        <v>Moderate Risk</v>
      </c>
    </row>
    <row r="30" spans="1:12" ht="18" customHeight="1" x14ac:dyDescent="0.3">
      <c r="A30" s="18" t="s">
        <v>55</v>
      </c>
      <c r="B30" s="51">
        <v>81161</v>
      </c>
      <c r="C30" s="51">
        <v>5532</v>
      </c>
      <c r="D30" s="51">
        <v>34896</v>
      </c>
      <c r="E30" s="51">
        <v>40733</v>
      </c>
      <c r="F30" s="51">
        <v>17668824</v>
      </c>
      <c r="G30" s="52" t="s">
        <v>199</v>
      </c>
      <c r="H30" s="53">
        <v>43890</v>
      </c>
      <c r="I30" s="54">
        <f t="shared" si="0"/>
        <v>6.8160816155542689E-2</v>
      </c>
      <c r="J30" s="54">
        <f t="shared" si="1"/>
        <v>0.42996020256034301</v>
      </c>
      <c r="K30" s="54">
        <f t="shared" si="2"/>
        <v>4.5934579460410038E-3</v>
      </c>
      <c r="L30" s="50" t="str" cm="1">
        <f t="array" ref="L30">_xlfn.IFS(I30&gt;5%,"High Risk",I30&lt;2%,"Low Risk",I30&gt;=2%,"Moderate Risk")</f>
        <v>High Risk</v>
      </c>
    </row>
    <row r="31" spans="1:12" ht="18" customHeight="1" x14ac:dyDescent="0.3">
      <c r="A31" s="18" t="s">
        <v>165</v>
      </c>
      <c r="B31" s="51">
        <v>79395</v>
      </c>
      <c r="C31" s="51">
        <v>5700</v>
      </c>
      <c r="D31" s="51">
        <v>0</v>
      </c>
      <c r="E31" s="51">
        <v>73695</v>
      </c>
      <c r="F31" s="51">
        <v>10105596</v>
      </c>
      <c r="G31" s="52" t="s">
        <v>196</v>
      </c>
      <c r="H31" s="53">
        <v>43861</v>
      </c>
      <c r="I31" s="54">
        <f t="shared" si="0"/>
        <v>7.1792934063857922E-2</v>
      </c>
      <c r="J31" s="54">
        <f t="shared" si="1"/>
        <v>0</v>
      </c>
      <c r="K31" s="54">
        <f t="shared" si="2"/>
        <v>7.8565381002763217E-3</v>
      </c>
      <c r="L31" s="50" t="str" cm="1">
        <f t="array" ref="L31">_xlfn.IFS(I31&gt;5%,"High Risk",I31&lt;2%,"Low Risk",I31&gt;=2%,"Moderate Risk")</f>
        <v>High Risk</v>
      </c>
    </row>
    <row r="32" spans="1:12" ht="18" customHeight="1" x14ac:dyDescent="0.3">
      <c r="A32" s="17" t="s">
        <v>131</v>
      </c>
      <c r="B32" s="9">
        <v>77058</v>
      </c>
      <c r="C32" s="9">
        <v>393</v>
      </c>
      <c r="D32" s="9">
        <v>57028</v>
      </c>
      <c r="E32" s="9">
        <v>19637</v>
      </c>
      <c r="F32" s="9">
        <v>5118446</v>
      </c>
      <c r="G32" s="6" t="s">
        <v>195</v>
      </c>
      <c r="H32" s="10">
        <v>43885</v>
      </c>
      <c r="I32" s="15">
        <f t="shared" si="0"/>
        <v>5.1000545043992833E-3</v>
      </c>
      <c r="J32" s="15">
        <f t="shared" si="1"/>
        <v>0.74006592436865737</v>
      </c>
      <c r="K32" s="15">
        <f t="shared" si="2"/>
        <v>1.5054960040606075E-2</v>
      </c>
      <c r="L32" t="str" cm="1">
        <f t="array" ref="L32">_xlfn.IFS(I32&gt;5%,"High Risk",I32&lt;2%,"Low Risk",I32&gt;=2%,"Moderate Risk")</f>
        <v>Low Risk</v>
      </c>
    </row>
    <row r="33" spans="1:12" ht="18" customHeight="1" x14ac:dyDescent="0.3">
      <c r="A33" s="16" t="s">
        <v>25</v>
      </c>
      <c r="B33" s="7">
        <v>71181</v>
      </c>
      <c r="C33" s="7">
        <v>2647</v>
      </c>
      <c r="D33" s="7">
        <v>21478</v>
      </c>
      <c r="E33" s="7">
        <v>47056</v>
      </c>
      <c r="F33" s="7">
        <v>11688459</v>
      </c>
      <c r="G33" s="5" t="s">
        <v>199</v>
      </c>
      <c r="H33" s="8">
        <v>43900</v>
      </c>
      <c r="I33" s="15">
        <f t="shared" si="0"/>
        <v>3.7186889759907839E-2</v>
      </c>
      <c r="J33" s="15">
        <f t="shared" si="1"/>
        <v>0.30173782329554233</v>
      </c>
      <c r="K33" s="15">
        <f t="shared" si="2"/>
        <v>6.0898532475495704E-3</v>
      </c>
      <c r="L33" t="str" cm="1">
        <f t="array" ref="L33">_xlfn.IFS(I33&gt;5%,"High Risk",I33&lt;2%,"Low Risk",I33&gt;=2%,"Moderate Risk")</f>
        <v>Moderate Risk</v>
      </c>
    </row>
    <row r="34" spans="1:12" ht="18" customHeight="1" x14ac:dyDescent="0.3">
      <c r="A34" s="17" t="s">
        <v>20</v>
      </c>
      <c r="B34" s="9">
        <v>67251</v>
      </c>
      <c r="C34" s="9">
        <v>538</v>
      </c>
      <c r="D34" s="9">
        <v>60492</v>
      </c>
      <c r="E34" s="9">
        <v>6221</v>
      </c>
      <c r="F34" s="9">
        <v>9449001</v>
      </c>
      <c r="G34" s="6" t="s">
        <v>196</v>
      </c>
      <c r="H34" s="10">
        <v>43889</v>
      </c>
      <c r="I34" s="15">
        <f t="shared" ref="I34:I65" si="3">C34/B34</f>
        <v>7.9998810426610764E-3</v>
      </c>
      <c r="J34" s="15">
        <f t="shared" ref="J34:J65" si="4">D34/B34</f>
        <v>0.89949591827630815</v>
      </c>
      <c r="K34" s="15">
        <f t="shared" ref="K34:K65" si="5">B34/F34</f>
        <v>7.1172603326002401E-3</v>
      </c>
      <c r="L34" t="str" cm="1">
        <f t="array" ref="L34">_xlfn.IFS(I34&gt;5%,"High Risk",I34&lt;2%,"Low Risk",I34&gt;=2%,"Moderate Risk")</f>
        <v>Low Risk</v>
      </c>
    </row>
    <row r="35" spans="1:12" ht="18" customHeight="1" x14ac:dyDescent="0.3">
      <c r="A35" s="17" t="s">
        <v>178</v>
      </c>
      <c r="B35" s="9">
        <v>67096</v>
      </c>
      <c r="C35" s="9">
        <v>1636</v>
      </c>
      <c r="D35" s="9">
        <v>37202</v>
      </c>
      <c r="E35" s="9">
        <v>28258</v>
      </c>
      <c r="F35" s="9">
        <v>43705858</v>
      </c>
      <c r="G35" s="6" t="s">
        <v>196</v>
      </c>
      <c r="H35" s="10">
        <v>43893</v>
      </c>
      <c r="I35" s="15">
        <f t="shared" si="3"/>
        <v>2.4382973649695959E-2</v>
      </c>
      <c r="J35" s="15">
        <f t="shared" si="4"/>
        <v>0.55445928222248719</v>
      </c>
      <c r="K35" s="15">
        <f t="shared" si="5"/>
        <v>1.5351717840661086E-3</v>
      </c>
      <c r="L35" t="str" cm="1">
        <f t="array" ref="L35">_xlfn.IFS(I35&gt;5%,"High Risk",I35&lt;2%,"Low Risk",I35&gt;=2%,"Moderate Risk")</f>
        <v>Moderate Risk</v>
      </c>
    </row>
    <row r="36" spans="1:12" ht="18" customHeight="1" x14ac:dyDescent="0.3">
      <c r="A36" s="19" t="s">
        <v>21</v>
      </c>
      <c r="B36" s="55">
        <v>66428</v>
      </c>
      <c r="C36" s="55">
        <v>9822</v>
      </c>
      <c r="D36" s="55">
        <v>17452</v>
      </c>
      <c r="E36" s="55">
        <v>39154</v>
      </c>
      <c r="F36" s="55">
        <v>11594739</v>
      </c>
      <c r="G36" s="56" t="s">
        <v>196</v>
      </c>
      <c r="H36" s="57">
        <v>43865</v>
      </c>
      <c r="I36" s="54">
        <f t="shared" si="3"/>
        <v>0.14785933642439936</v>
      </c>
      <c r="J36" s="54">
        <f t="shared" si="4"/>
        <v>0.26272053953152286</v>
      </c>
      <c r="K36" s="54">
        <f t="shared" si="5"/>
        <v>5.7291500912612179E-3</v>
      </c>
      <c r="L36" s="50" t="str" cm="1">
        <f t="array" ref="L36">_xlfn.IFS(I36&gt;5%,"High Risk",I36&lt;2%,"Low Risk",I36&gt;=2%,"Moderate Risk")</f>
        <v>High Risk</v>
      </c>
    </row>
    <row r="37" spans="1:12" ht="18" customHeight="1" x14ac:dyDescent="0.3">
      <c r="A37" s="16" t="s">
        <v>96</v>
      </c>
      <c r="B37" s="7">
        <v>64379</v>
      </c>
      <c r="C37" s="7">
        <v>438</v>
      </c>
      <c r="D37" s="7">
        <v>55057</v>
      </c>
      <c r="E37" s="7">
        <v>8884</v>
      </c>
      <c r="F37" s="7">
        <v>4276658</v>
      </c>
      <c r="G37" s="5" t="s">
        <v>195</v>
      </c>
      <c r="H37" s="8">
        <v>43885</v>
      </c>
      <c r="I37" s="15">
        <f t="shared" si="3"/>
        <v>6.8034607558365304E-3</v>
      </c>
      <c r="J37" s="15">
        <f t="shared" si="4"/>
        <v>0.85520123021482164</v>
      </c>
      <c r="K37" s="15">
        <f t="shared" si="5"/>
        <v>1.5053576881761413E-2</v>
      </c>
      <c r="L37" t="str" cm="1">
        <f t="array" ref="L37">_xlfn.IFS(I37&gt;5%,"High Risk",I37&lt;2%,"Low Risk",I37&gt;=2%,"Moderate Risk")</f>
        <v>Low Risk</v>
      </c>
    </row>
    <row r="38" spans="1:12" ht="18" customHeight="1" x14ac:dyDescent="0.3">
      <c r="A38" s="16" t="s">
        <v>54</v>
      </c>
      <c r="B38" s="7">
        <v>64156</v>
      </c>
      <c r="C38" s="7">
        <v>1083</v>
      </c>
      <c r="D38" s="7">
        <v>30204</v>
      </c>
      <c r="E38" s="7">
        <v>32869</v>
      </c>
      <c r="F38" s="7">
        <v>10858648</v>
      </c>
      <c r="G38" s="5" t="s">
        <v>198</v>
      </c>
      <c r="H38" s="8">
        <v>43891</v>
      </c>
      <c r="I38" s="15">
        <f t="shared" si="3"/>
        <v>1.688072822495168E-2</v>
      </c>
      <c r="J38" s="15">
        <f t="shared" si="4"/>
        <v>0.47078994949809838</v>
      </c>
      <c r="K38" s="15">
        <f t="shared" si="5"/>
        <v>5.9082861881147638E-3</v>
      </c>
      <c r="L38" t="str" cm="1">
        <f t="array" ref="L38">_xlfn.IFS(I38&gt;5%,"High Risk",I38&lt;2%,"Low Risk",I38&gt;=2%,"Moderate Risk")</f>
        <v>Low Risk</v>
      </c>
    </row>
    <row r="39" spans="1:12" ht="18" customHeight="1" x14ac:dyDescent="0.3">
      <c r="A39" s="16" t="s">
        <v>88</v>
      </c>
      <c r="B39" s="7">
        <v>63985</v>
      </c>
      <c r="C39" s="7">
        <v>474</v>
      </c>
      <c r="D39" s="7">
        <v>27133</v>
      </c>
      <c r="E39" s="7">
        <v>36378</v>
      </c>
      <c r="F39" s="7">
        <v>9197590</v>
      </c>
      <c r="G39" s="5" t="s">
        <v>195</v>
      </c>
      <c r="H39" s="8">
        <v>43882</v>
      </c>
      <c r="I39" s="15">
        <f t="shared" si="3"/>
        <v>7.407986246776588E-3</v>
      </c>
      <c r="J39" s="15">
        <f t="shared" si="4"/>
        <v>0.42405251230757207</v>
      </c>
      <c r="K39" s="15">
        <f t="shared" si="5"/>
        <v>6.9567136608611607E-3</v>
      </c>
      <c r="L39" t="str" cm="1">
        <f t="array" ref="L39">_xlfn.IFS(I39&gt;5%,"High Risk",I39&lt;2%,"Low Risk",I39&gt;=2%,"Moderate Risk")</f>
        <v>Low Risk</v>
      </c>
    </row>
    <row r="40" spans="1:12" ht="18" customHeight="1" x14ac:dyDescent="0.3">
      <c r="A40" s="17" t="s">
        <v>133</v>
      </c>
      <c r="B40" s="9">
        <v>61442</v>
      </c>
      <c r="C40" s="9">
        <v>1322</v>
      </c>
      <c r="D40" s="9">
        <v>35086</v>
      </c>
      <c r="E40" s="9">
        <v>25034</v>
      </c>
      <c r="F40" s="9">
        <v>5112340</v>
      </c>
      <c r="G40" s="6" t="s">
        <v>195</v>
      </c>
      <c r="H40" s="10">
        <v>43899</v>
      </c>
      <c r="I40" s="15">
        <f t="shared" si="3"/>
        <v>2.1516226685329255E-2</v>
      </c>
      <c r="J40" s="15">
        <f t="shared" si="4"/>
        <v>0.57104260929006212</v>
      </c>
      <c r="K40" s="15">
        <f t="shared" si="5"/>
        <v>1.2018371235089998E-2</v>
      </c>
      <c r="L40" t="str" cm="1">
        <f t="array" ref="L40">_xlfn.IFS(I40&gt;5%,"High Risk",I40&lt;2%,"Low Risk",I40&gt;=2%,"Moderate Risk")</f>
        <v>Moderate Risk</v>
      </c>
    </row>
    <row r="41" spans="1:12" ht="18" customHeight="1" x14ac:dyDescent="0.3">
      <c r="A41" s="16" t="s">
        <v>179</v>
      </c>
      <c r="B41" s="7">
        <v>59177</v>
      </c>
      <c r="C41" s="7">
        <v>345</v>
      </c>
      <c r="D41" s="7">
        <v>52510</v>
      </c>
      <c r="E41" s="7">
        <v>6322</v>
      </c>
      <c r="F41" s="7">
        <v>9902079</v>
      </c>
      <c r="G41" s="5" t="s">
        <v>195</v>
      </c>
      <c r="H41" s="8">
        <v>43859</v>
      </c>
      <c r="I41" s="15">
        <f t="shared" si="3"/>
        <v>5.8299677239468037E-3</v>
      </c>
      <c r="J41" s="15">
        <f t="shared" si="4"/>
        <v>0.88733798604187442</v>
      </c>
      <c r="K41" s="15">
        <f t="shared" si="5"/>
        <v>5.9762197413290681E-3</v>
      </c>
      <c r="L41" t="str" cm="1">
        <f t="array" ref="L41">_xlfn.IFS(I41&gt;5%,"High Risk",I41&lt;2%,"Low Risk",I41&gt;=2%,"Moderate Risk")</f>
        <v>Low Risk</v>
      </c>
    </row>
    <row r="42" spans="1:12" ht="18" customHeight="1" x14ac:dyDescent="0.3">
      <c r="A42" s="19" t="s">
        <v>124</v>
      </c>
      <c r="B42" s="55">
        <v>53413</v>
      </c>
      <c r="C42" s="55">
        <v>6160</v>
      </c>
      <c r="D42" s="55">
        <v>189</v>
      </c>
      <c r="E42" s="55">
        <v>47064</v>
      </c>
      <c r="F42" s="55">
        <v>17138756</v>
      </c>
      <c r="G42" s="56" t="s">
        <v>196</v>
      </c>
      <c r="H42" s="57">
        <v>43888</v>
      </c>
      <c r="I42" s="54">
        <f t="shared" si="3"/>
        <v>0.11532772920450078</v>
      </c>
      <c r="J42" s="54">
        <f t="shared" si="4"/>
        <v>3.5384644187744555E-3</v>
      </c>
      <c r="K42" s="54">
        <f t="shared" si="5"/>
        <v>3.1165039049508613E-3</v>
      </c>
      <c r="L42" s="50" t="str" cm="1">
        <f t="array" ref="L42">_xlfn.IFS(I42&gt;5%,"High Risk",I42&lt;2%,"Low Risk",I42&gt;=2%,"Moderate Risk")</f>
        <v>High Risk</v>
      </c>
    </row>
    <row r="43" spans="1:12" ht="18" customHeight="1" x14ac:dyDescent="0.3">
      <c r="A43" s="16" t="s">
        <v>154</v>
      </c>
      <c r="B43" s="7">
        <v>50838</v>
      </c>
      <c r="C43" s="7">
        <v>27</v>
      </c>
      <c r="D43" s="7">
        <v>45692</v>
      </c>
      <c r="E43" s="7">
        <v>5119</v>
      </c>
      <c r="F43" s="7">
        <v>5854932</v>
      </c>
      <c r="G43" s="5" t="s">
        <v>195</v>
      </c>
      <c r="H43" s="8">
        <v>43853</v>
      </c>
      <c r="I43" s="15">
        <f t="shared" si="3"/>
        <v>5.3109878437389356E-4</v>
      </c>
      <c r="J43" s="15">
        <f t="shared" si="4"/>
        <v>0.89877650576340529</v>
      </c>
      <c r="K43" s="15">
        <f t="shared" si="5"/>
        <v>8.6829360272672688E-3</v>
      </c>
      <c r="L43" t="str" cm="1">
        <f t="array" ref="L43">_xlfn.IFS(I43&gt;5%,"High Risk",I43&lt;2%,"Low Risk",I43&gt;=2%,"Moderate Risk")</f>
        <v>Low Risk</v>
      </c>
    </row>
    <row r="44" spans="1:12" ht="18" customHeight="1" x14ac:dyDescent="0.3">
      <c r="A44" s="17" t="s">
        <v>139</v>
      </c>
      <c r="B44" s="9">
        <v>50299</v>
      </c>
      <c r="C44" s="9">
        <v>1719</v>
      </c>
      <c r="D44" s="9">
        <v>35375</v>
      </c>
      <c r="E44" s="9">
        <v>13205</v>
      </c>
      <c r="F44" s="9">
        <v>10193593</v>
      </c>
      <c r="G44" s="6" t="s">
        <v>196</v>
      </c>
      <c r="H44" s="10">
        <v>43892</v>
      </c>
      <c r="I44" s="15">
        <f t="shared" si="3"/>
        <v>3.4175629734189548E-2</v>
      </c>
      <c r="J44" s="15">
        <f t="shared" si="4"/>
        <v>0.70329430008548877</v>
      </c>
      <c r="K44" s="15">
        <f t="shared" si="5"/>
        <v>4.9343739739265632E-3</v>
      </c>
      <c r="L44" t="str" cm="1">
        <f t="array" ref="L44">_xlfn.IFS(I44&gt;5%,"High Risk",I44&lt;2%,"Low Risk",I44&gt;=2%,"Moderate Risk")</f>
        <v>Moderate Risk</v>
      </c>
    </row>
    <row r="45" spans="1:12" ht="18" customHeight="1" x14ac:dyDescent="0.3">
      <c r="A45" s="17" t="s">
        <v>141</v>
      </c>
      <c r="B45" s="9">
        <v>45902</v>
      </c>
      <c r="C45" s="9">
        <v>2206</v>
      </c>
      <c r="D45" s="9">
        <v>25794</v>
      </c>
      <c r="E45" s="9">
        <v>17902</v>
      </c>
      <c r="F45" s="9">
        <v>19224023</v>
      </c>
      <c r="G45" s="6" t="s">
        <v>196</v>
      </c>
      <c r="H45" s="10">
        <v>43887</v>
      </c>
      <c r="I45" s="15">
        <f t="shared" si="3"/>
        <v>4.805890810857915E-2</v>
      </c>
      <c r="J45" s="15">
        <f t="shared" si="4"/>
        <v>0.56193629907193587</v>
      </c>
      <c r="K45" s="15">
        <f t="shared" si="5"/>
        <v>2.3877416293145303E-3</v>
      </c>
      <c r="L45" t="str" cm="1">
        <f t="array" ref="L45">_xlfn.IFS(I45&gt;5%,"High Risk",I45&lt;2%,"Low Risk",I45&gt;=2%,"Moderate Risk")</f>
        <v>Moderate Risk</v>
      </c>
    </row>
    <row r="46" spans="1:12" ht="18" customHeight="1" x14ac:dyDescent="0.3">
      <c r="A46" s="16" t="s">
        <v>74</v>
      </c>
      <c r="B46" s="7">
        <v>45309</v>
      </c>
      <c r="C46" s="7">
        <v>1761</v>
      </c>
      <c r="D46" s="7">
        <v>32455</v>
      </c>
      <c r="E46" s="7">
        <v>11093</v>
      </c>
      <c r="F46" s="7">
        <v>17946899</v>
      </c>
      <c r="G46" s="5" t="s">
        <v>198</v>
      </c>
      <c r="H46" s="8">
        <v>43903</v>
      </c>
      <c r="I46" s="15">
        <f t="shared" si="3"/>
        <v>3.8866450374097861E-2</v>
      </c>
      <c r="J46" s="15">
        <f t="shared" si="4"/>
        <v>0.71630360414045779</v>
      </c>
      <c r="K46" s="15">
        <f t="shared" si="5"/>
        <v>2.5246144194604318E-3</v>
      </c>
      <c r="L46" t="str" cm="1">
        <f t="array" ref="L46">_xlfn.IFS(I46&gt;5%,"High Risk",I46&lt;2%,"Low Risk",I46&gt;=2%,"Moderate Risk")</f>
        <v>Moderate Risk</v>
      </c>
    </row>
    <row r="47" spans="1:12" ht="18" customHeight="1" x14ac:dyDescent="0.3">
      <c r="A47" s="16" t="s">
        <v>138</v>
      </c>
      <c r="B47" s="7">
        <v>43402</v>
      </c>
      <c r="C47" s="7">
        <v>1676</v>
      </c>
      <c r="D47" s="7">
        <v>32856</v>
      </c>
      <c r="E47" s="7">
        <v>8870</v>
      </c>
      <c r="F47" s="7">
        <v>37842302</v>
      </c>
      <c r="G47" s="5" t="s">
        <v>196</v>
      </c>
      <c r="H47" s="8">
        <v>43894</v>
      </c>
      <c r="I47" s="15">
        <f t="shared" si="3"/>
        <v>3.8615731993917331E-2</v>
      </c>
      <c r="J47" s="15">
        <f t="shared" si="4"/>
        <v>0.75701580572323857</v>
      </c>
      <c r="K47" s="15">
        <f t="shared" si="5"/>
        <v>1.1469175421727779E-3</v>
      </c>
      <c r="L47" t="str" cm="1">
        <f t="array" ref="L47">_xlfn.IFS(I47&gt;5%,"High Risk",I47&lt;2%,"Low Risk",I47&gt;=2%,"Moderate Risk")</f>
        <v>Moderate Risk</v>
      </c>
    </row>
    <row r="48" spans="1:12" ht="18" customHeight="1" x14ac:dyDescent="0.3">
      <c r="A48" s="16" t="s">
        <v>128</v>
      </c>
      <c r="B48" s="7">
        <v>41180</v>
      </c>
      <c r="C48" s="7">
        <v>860</v>
      </c>
      <c r="D48" s="7">
        <v>18203</v>
      </c>
      <c r="E48" s="7">
        <v>22117</v>
      </c>
      <c r="F48" s="7">
        <v>206606300</v>
      </c>
      <c r="G48" s="5" t="s">
        <v>197</v>
      </c>
      <c r="H48" s="8">
        <v>43888</v>
      </c>
      <c r="I48" s="15">
        <f t="shared" si="3"/>
        <v>2.0883924235065566E-2</v>
      </c>
      <c r="J48" s="15">
        <f t="shared" si="4"/>
        <v>0.44203496843127732</v>
      </c>
      <c r="K48" s="15">
        <f t="shared" si="5"/>
        <v>1.9931628415977636E-4</v>
      </c>
      <c r="L48" t="str" cm="1">
        <f t="array" ref="L48">_xlfn.IFS(I48&gt;5%,"High Risk",I48&lt;2%,"Low Risk",I48&gt;=2%,"Moderate Risk")</f>
        <v>Moderate Risk</v>
      </c>
    </row>
    <row r="49" spans="1:12" ht="18" customHeight="1" x14ac:dyDescent="0.3">
      <c r="A49" s="16" t="s">
        <v>80</v>
      </c>
      <c r="B49" s="7">
        <v>39741</v>
      </c>
      <c r="C49" s="7">
        <v>1166</v>
      </c>
      <c r="D49" s="7">
        <v>5039</v>
      </c>
      <c r="E49" s="7">
        <v>33536</v>
      </c>
      <c r="F49" s="11">
        <v>10012084</v>
      </c>
      <c r="G49" s="5" t="s">
        <v>198</v>
      </c>
      <c r="H49" s="8">
        <v>43907</v>
      </c>
      <c r="I49" s="15">
        <f t="shared" si="3"/>
        <v>2.9339976346845827E-2</v>
      </c>
      <c r="J49" s="15">
        <f t="shared" si="4"/>
        <v>0.12679600412672051</v>
      </c>
      <c r="K49" s="15">
        <f t="shared" si="5"/>
        <v>3.9693034936582631E-3</v>
      </c>
      <c r="L49" t="str" cm="1">
        <f t="array" ref="L49">_xlfn.IFS(I49&gt;5%,"High Risk",I49&lt;2%,"Low Risk",I49&gt;=2%,"Moderate Risk")</f>
        <v>Moderate Risk</v>
      </c>
    </row>
    <row r="50" spans="1:12" ht="18" customHeight="1" x14ac:dyDescent="0.3">
      <c r="A50" s="16" t="s">
        <v>17</v>
      </c>
      <c r="B50" s="7">
        <v>39482</v>
      </c>
      <c r="C50" s="7">
        <v>141</v>
      </c>
      <c r="D50" s="7">
        <v>36110</v>
      </c>
      <c r="E50" s="7">
        <v>3231</v>
      </c>
      <c r="F50" s="7">
        <v>1706669</v>
      </c>
      <c r="G50" s="5" t="s">
        <v>195</v>
      </c>
      <c r="H50" s="8">
        <v>43882</v>
      </c>
      <c r="I50" s="15">
        <f t="shared" si="3"/>
        <v>3.5712476571602247E-3</v>
      </c>
      <c r="J50" s="15">
        <f t="shared" si="4"/>
        <v>0.91459399219897675</v>
      </c>
      <c r="K50" s="15">
        <f t="shared" si="5"/>
        <v>2.3133952746548978E-2</v>
      </c>
      <c r="L50" t="str" cm="1">
        <f t="array" ref="L50">_xlfn.IFS(I50&gt;5%,"High Risk",I50&lt;2%,"Low Risk",I50&gt;=2%,"Moderate Risk")</f>
        <v>Low Risk</v>
      </c>
    </row>
    <row r="51" spans="1:12" ht="18" customHeight="1" x14ac:dyDescent="0.3">
      <c r="A51" s="17" t="s">
        <v>12</v>
      </c>
      <c r="B51" s="9">
        <v>37390</v>
      </c>
      <c r="C51" s="9">
        <v>711</v>
      </c>
      <c r="D51" s="9">
        <v>26665</v>
      </c>
      <c r="E51" s="9">
        <v>10014</v>
      </c>
      <c r="F51" s="9">
        <v>2963811</v>
      </c>
      <c r="G51" s="6" t="s">
        <v>195</v>
      </c>
      <c r="H51" s="10">
        <v>43891</v>
      </c>
      <c r="I51" s="15">
        <f t="shared" si="3"/>
        <v>1.901577962021931E-2</v>
      </c>
      <c r="J51" s="15">
        <f t="shared" si="4"/>
        <v>0.71315859855576358</v>
      </c>
      <c r="K51" s="15">
        <f t="shared" si="5"/>
        <v>1.2615514282118529E-2</v>
      </c>
      <c r="L51" t="str" cm="1">
        <f t="array" ref="L51">_xlfn.IFS(I51&gt;5%,"High Risk",I51&lt;2%,"Low Risk",I51&gt;=2%,"Moderate Risk")</f>
        <v>Low Risk</v>
      </c>
    </row>
    <row r="52" spans="1:12" ht="18" customHeight="1" x14ac:dyDescent="0.3">
      <c r="A52" s="16" t="s">
        <v>5</v>
      </c>
      <c r="B52" s="7">
        <v>36263</v>
      </c>
      <c r="C52" s="7">
        <v>1269</v>
      </c>
      <c r="D52" s="7">
        <v>25198</v>
      </c>
      <c r="E52" s="7">
        <v>9796</v>
      </c>
      <c r="F52" s="7">
        <v>39009447</v>
      </c>
      <c r="G52" s="5" t="s">
        <v>195</v>
      </c>
      <c r="H52" s="8">
        <v>43885</v>
      </c>
      <c r="I52" s="15">
        <f t="shared" si="3"/>
        <v>3.4994346854920991E-2</v>
      </c>
      <c r="J52" s="15">
        <f t="shared" si="4"/>
        <v>0.69486804732096075</v>
      </c>
      <c r="K52" s="15">
        <f t="shared" si="5"/>
        <v>9.2959533622714516E-4</v>
      </c>
      <c r="L52" t="str" cm="1">
        <f t="array" ref="L52">_xlfn.IFS(I52&gt;5%,"High Risk",I52&lt;2%,"Low Risk",I52&gt;=2%,"Moderate Risk")</f>
        <v>Moderate Risk</v>
      </c>
    </row>
    <row r="53" spans="1:12" ht="18" customHeight="1" x14ac:dyDescent="0.3">
      <c r="A53" s="19" t="s">
        <v>166</v>
      </c>
      <c r="B53" s="55">
        <v>34477</v>
      </c>
      <c r="C53" s="55">
        <v>1978</v>
      </c>
      <c r="D53" s="55">
        <v>30900</v>
      </c>
      <c r="E53" s="55">
        <v>1599</v>
      </c>
      <c r="F53" s="55">
        <v>8660952</v>
      </c>
      <c r="G53" s="56" t="s">
        <v>196</v>
      </c>
      <c r="H53" s="57">
        <v>43886</v>
      </c>
      <c r="I53" s="54">
        <f t="shared" si="3"/>
        <v>5.7371581054036024E-2</v>
      </c>
      <c r="J53" s="54">
        <f t="shared" si="4"/>
        <v>0.89624967369550712</v>
      </c>
      <c r="K53" s="54">
        <f t="shared" si="5"/>
        <v>3.9807402234765879E-3</v>
      </c>
      <c r="L53" s="50" t="str" cm="1">
        <f t="array" ref="L53">_xlfn.IFS(I53&gt;5%,"High Risk",I53&lt;2%,"Low Risk",I53&gt;=2%,"Moderate Risk")</f>
        <v>High Risk</v>
      </c>
    </row>
    <row r="54" spans="1:12" ht="18" customHeight="1" x14ac:dyDescent="0.3">
      <c r="A54" s="16" t="s">
        <v>70</v>
      </c>
      <c r="B54" s="7">
        <v>33624</v>
      </c>
      <c r="C54" s="7">
        <v>168</v>
      </c>
      <c r="D54" s="7">
        <v>29801</v>
      </c>
      <c r="E54" s="7">
        <v>3655</v>
      </c>
      <c r="F54" s="7">
        <v>31133483</v>
      </c>
      <c r="G54" s="5" t="s">
        <v>197</v>
      </c>
      <c r="H54" s="8">
        <v>43902</v>
      </c>
      <c r="I54" s="15">
        <f t="shared" si="3"/>
        <v>4.9964311206281229E-3</v>
      </c>
      <c r="J54" s="15">
        <f t="shared" si="4"/>
        <v>0.88630145134427785</v>
      </c>
      <c r="K54" s="15">
        <f t="shared" si="5"/>
        <v>1.0799948081620036E-3</v>
      </c>
      <c r="L54" t="str" cm="1">
        <f t="array" ref="L54">_xlfn.IFS(I54&gt;5%,"High Risk",I54&lt;2%,"Low Risk",I54&gt;=2%,"Moderate Risk")</f>
        <v>Low Risk</v>
      </c>
    </row>
    <row r="55" spans="1:12" ht="18" customHeight="1" x14ac:dyDescent="0.3">
      <c r="A55" s="17" t="s">
        <v>97</v>
      </c>
      <c r="B55" s="9">
        <v>33296</v>
      </c>
      <c r="C55" s="9">
        <v>1301</v>
      </c>
      <c r="D55" s="9">
        <v>21205</v>
      </c>
      <c r="E55" s="9">
        <v>10790</v>
      </c>
      <c r="F55" s="9">
        <v>6534479</v>
      </c>
      <c r="G55" s="6" t="s">
        <v>195</v>
      </c>
      <c r="H55" s="10">
        <v>43908</v>
      </c>
      <c r="I55" s="15">
        <f t="shared" si="3"/>
        <v>3.9073762614127823E-2</v>
      </c>
      <c r="J55" s="15">
        <f t="shared" si="4"/>
        <v>0.63686328688130711</v>
      </c>
      <c r="K55" s="15">
        <f t="shared" si="5"/>
        <v>5.0954330100379842E-3</v>
      </c>
      <c r="L55" t="str" cm="1">
        <f t="array" ref="L55">_xlfn.IFS(I55&gt;5%,"High Risk",I55&lt;2%,"Low Risk",I55&gt;=2%,"Moderate Risk")</f>
        <v>Moderate Risk</v>
      </c>
    </row>
    <row r="56" spans="1:12" ht="18" customHeight="1" x14ac:dyDescent="0.3">
      <c r="A56" s="17" t="s">
        <v>91</v>
      </c>
      <c r="B56" s="9">
        <v>31142</v>
      </c>
      <c r="C56" s="9">
        <v>998</v>
      </c>
      <c r="D56" s="9">
        <v>21970</v>
      </c>
      <c r="E56" s="9">
        <v>8174</v>
      </c>
      <c r="F56" s="9">
        <v>126435859</v>
      </c>
      <c r="G56" s="6" t="s">
        <v>195</v>
      </c>
      <c r="H56" s="10">
        <v>43846</v>
      </c>
      <c r="I56" s="15">
        <f t="shared" si="3"/>
        <v>3.2046753580373774E-2</v>
      </c>
      <c r="J56" s="15">
        <f t="shared" si="4"/>
        <v>0.70547813242566304</v>
      </c>
      <c r="K56" s="15">
        <f t="shared" si="5"/>
        <v>2.4630670639094564E-4</v>
      </c>
      <c r="L56" t="str" cm="1">
        <f t="array" ref="L56">_xlfn.IFS(I56&gt;5%,"High Risk",I56&lt;2%,"Low Risk",I56&gt;=2%,"Moderate Risk")</f>
        <v>Moderate Risk</v>
      </c>
    </row>
    <row r="57" spans="1:12" ht="18" customHeight="1" x14ac:dyDescent="0.3">
      <c r="A57" s="16" t="s">
        <v>15</v>
      </c>
      <c r="B57" s="7">
        <v>30446</v>
      </c>
      <c r="C57" s="7">
        <v>423</v>
      </c>
      <c r="D57" s="7">
        <v>23242</v>
      </c>
      <c r="E57" s="7">
        <v>6781</v>
      </c>
      <c r="F57" s="7">
        <v>10148243</v>
      </c>
      <c r="G57" s="5" t="s">
        <v>195</v>
      </c>
      <c r="H57" s="8">
        <v>43889</v>
      </c>
      <c r="I57" s="15">
        <f t="shared" si="3"/>
        <v>1.389345069959929E-2</v>
      </c>
      <c r="J57" s="15">
        <f t="shared" si="4"/>
        <v>0.76338435262431847</v>
      </c>
      <c r="K57" s="15">
        <f t="shared" si="5"/>
        <v>3.0001252433549336E-3</v>
      </c>
      <c r="L57" t="str" cm="1">
        <f t="array" ref="L57">_xlfn.IFS(I57&gt;5%,"High Risk",I57&lt;2%,"Low Risk",I57&gt;=2%,"Moderate Risk")</f>
        <v>Low Risk</v>
      </c>
    </row>
    <row r="58" spans="1:12" ht="18" customHeight="1" x14ac:dyDescent="0.3">
      <c r="A58" s="16" t="s">
        <v>7</v>
      </c>
      <c r="B58" s="7">
        <v>27973</v>
      </c>
      <c r="C58" s="7">
        <v>1163</v>
      </c>
      <c r="D58" s="7">
        <v>18837</v>
      </c>
      <c r="E58" s="7">
        <v>7973</v>
      </c>
      <c r="F58" s="7">
        <v>43926079</v>
      </c>
      <c r="G58" s="5" t="s">
        <v>197</v>
      </c>
      <c r="H58" s="8">
        <v>43886</v>
      </c>
      <c r="I58" s="15">
        <f t="shared" si="3"/>
        <v>4.1575805240767885E-2</v>
      </c>
      <c r="J58" s="15">
        <f t="shared" si="4"/>
        <v>0.67339934937260926</v>
      </c>
      <c r="K58" s="15">
        <f t="shared" si="5"/>
        <v>6.3681987185790017E-4</v>
      </c>
      <c r="L58" t="str" cm="1">
        <f t="array" ref="L58">_xlfn.IFS(I58&gt;5%,"High Risk",I58&lt;2%,"Low Risk",I58&gt;=2%,"Moderate Risk")</f>
        <v>Moderate Risk</v>
      </c>
    </row>
    <row r="59" spans="1:12" ht="18" customHeight="1" x14ac:dyDescent="0.3">
      <c r="A59" s="18" t="s">
        <v>87</v>
      </c>
      <c r="B59" s="51">
        <v>25892</v>
      </c>
      <c r="C59" s="51">
        <v>1764</v>
      </c>
      <c r="D59" s="51">
        <v>23364</v>
      </c>
      <c r="E59" s="51">
        <v>764</v>
      </c>
      <c r="F59" s="51">
        <v>4943200</v>
      </c>
      <c r="G59" s="52" t="s">
        <v>196</v>
      </c>
      <c r="H59" s="53">
        <v>43890</v>
      </c>
      <c r="I59" s="54">
        <f t="shared" si="3"/>
        <v>6.8129151861578863E-2</v>
      </c>
      <c r="J59" s="54">
        <f t="shared" si="4"/>
        <v>0.90236366445234051</v>
      </c>
      <c r="K59" s="54">
        <f t="shared" si="5"/>
        <v>5.2379025732319142E-3</v>
      </c>
      <c r="L59" s="50" t="str" cm="1">
        <f t="array" ref="L59">_xlfn.IFS(I59&gt;5%,"High Risk",I59&lt;2%,"Low Risk",I59&gt;=2%,"Moderate Risk")</f>
        <v>High Risk</v>
      </c>
    </row>
    <row r="60" spans="1:12" ht="18" customHeight="1" x14ac:dyDescent="0.3">
      <c r="A60" s="17" t="s">
        <v>151</v>
      </c>
      <c r="B60" s="9">
        <v>24141</v>
      </c>
      <c r="C60" s="9">
        <v>543</v>
      </c>
      <c r="D60" s="9">
        <v>0</v>
      </c>
      <c r="E60" s="9">
        <v>23598</v>
      </c>
      <c r="F60" s="9">
        <v>8733665</v>
      </c>
      <c r="G60" s="6" t="s">
        <v>196</v>
      </c>
      <c r="H60" s="10">
        <v>43896</v>
      </c>
      <c r="I60" s="15">
        <f t="shared" si="3"/>
        <v>2.2492854479930408E-2</v>
      </c>
      <c r="J60" s="15">
        <f t="shared" si="4"/>
        <v>0</v>
      </c>
      <c r="K60" s="15">
        <f t="shared" si="5"/>
        <v>2.7641316675187334E-3</v>
      </c>
      <c r="L60" t="str" cm="1">
        <f t="array" ref="L60">_xlfn.IFS(I60&gt;5%,"High Risk",I60&lt;2%,"Low Risk",I60&gt;=2%,"Moderate Risk")</f>
        <v>Moderate Risk</v>
      </c>
    </row>
    <row r="61" spans="1:12" ht="18" customHeight="1" x14ac:dyDescent="0.3">
      <c r="A61" s="16" t="s">
        <v>116</v>
      </c>
      <c r="B61" s="7">
        <v>23154</v>
      </c>
      <c r="C61" s="7">
        <v>748</v>
      </c>
      <c r="D61" s="7">
        <v>16154</v>
      </c>
      <c r="E61" s="7">
        <v>6252</v>
      </c>
      <c r="F61" s="7">
        <v>4032983</v>
      </c>
      <c r="G61" s="5" t="s">
        <v>196</v>
      </c>
      <c r="H61" s="8">
        <v>43897</v>
      </c>
      <c r="I61" s="15">
        <f t="shared" si="3"/>
        <v>3.2305433186490456E-2</v>
      </c>
      <c r="J61" s="15">
        <f t="shared" si="4"/>
        <v>0.69767642739915348</v>
      </c>
      <c r="K61" s="15">
        <f t="shared" si="5"/>
        <v>5.7411598313208854E-3</v>
      </c>
      <c r="L61" t="str" cm="1">
        <f t="array" ref="L61">_xlfn.IFS(I61&gt;5%,"High Risk",I61&lt;2%,"Low Risk",I61&gt;=2%,"Moderate Risk")</f>
        <v>Moderate Risk</v>
      </c>
    </row>
    <row r="62" spans="1:12" ht="18" customHeight="1" x14ac:dyDescent="0.3">
      <c r="A62" s="17" t="s">
        <v>182</v>
      </c>
      <c r="B62" s="9">
        <v>21209</v>
      </c>
      <c r="C62" s="9">
        <v>121</v>
      </c>
      <c r="D62" s="9">
        <v>11674</v>
      </c>
      <c r="E62" s="9">
        <v>9414</v>
      </c>
      <c r="F62" s="9">
        <v>33516027</v>
      </c>
      <c r="G62" s="6" t="s">
        <v>195</v>
      </c>
      <c r="H62" s="10">
        <v>43905</v>
      </c>
      <c r="I62" s="15">
        <f t="shared" si="3"/>
        <v>5.7051251827054551E-3</v>
      </c>
      <c r="J62" s="15">
        <f t="shared" si="4"/>
        <v>0.55042670564383045</v>
      </c>
      <c r="K62" s="15">
        <f t="shared" si="5"/>
        <v>6.3280173392866643E-4</v>
      </c>
      <c r="L62" t="str" cm="1">
        <f t="array" ref="L62">_xlfn.IFS(I62&gt;5%,"High Risk",I62&lt;2%,"Low Risk",I62&gt;=2%,"Moderate Risk")</f>
        <v>Low Risk</v>
      </c>
    </row>
    <row r="63" spans="1:12" ht="18" customHeight="1" x14ac:dyDescent="0.3">
      <c r="A63" s="16" t="s">
        <v>120</v>
      </c>
      <c r="B63" s="7">
        <v>20887</v>
      </c>
      <c r="C63" s="7">
        <v>316</v>
      </c>
      <c r="D63" s="7">
        <v>16553</v>
      </c>
      <c r="E63" s="7">
        <v>4018</v>
      </c>
      <c r="F63" s="7">
        <v>36953359</v>
      </c>
      <c r="G63" s="5" t="s">
        <v>197</v>
      </c>
      <c r="H63" s="8">
        <v>43892</v>
      </c>
      <c r="I63" s="15">
        <f t="shared" si="3"/>
        <v>1.5129027624838417E-2</v>
      </c>
      <c r="J63" s="15">
        <f t="shared" si="4"/>
        <v>0.79250251352515921</v>
      </c>
      <c r="K63" s="15">
        <f t="shared" si="5"/>
        <v>5.6522601910153822E-4</v>
      </c>
      <c r="L63" t="str" cm="1">
        <f t="array" ref="L63">_xlfn.IFS(I63&gt;5%,"High Risk",I63&lt;2%,"Low Risk",I63&gt;=2%,"Moderate Risk")</f>
        <v>Low Risk</v>
      </c>
    </row>
    <row r="64" spans="1:12" ht="18" customHeight="1" x14ac:dyDescent="0.3">
      <c r="A64" s="17" t="s">
        <v>14</v>
      </c>
      <c r="B64" s="9">
        <v>20558</v>
      </c>
      <c r="C64" s="9">
        <v>713</v>
      </c>
      <c r="D64" s="9">
        <v>18246</v>
      </c>
      <c r="E64" s="9">
        <v>1599</v>
      </c>
      <c r="F64" s="9">
        <v>9011577</v>
      </c>
      <c r="G64" s="6" t="s">
        <v>196</v>
      </c>
      <c r="H64" s="10">
        <v>43886</v>
      </c>
      <c r="I64" s="15">
        <f t="shared" si="3"/>
        <v>3.4682362097480303E-2</v>
      </c>
      <c r="J64" s="15">
        <f t="shared" si="4"/>
        <v>0.88753769821967121</v>
      </c>
      <c r="K64" s="15">
        <f t="shared" si="5"/>
        <v>2.2812877257776302E-3</v>
      </c>
      <c r="L64" t="str" cm="1">
        <f t="array" ref="L64">_xlfn.IFS(I64&gt;5%,"High Risk",I64&lt;2%,"Low Risk",I64&gt;=2%,"Moderate Risk")</f>
        <v>Moderate Risk</v>
      </c>
    </row>
    <row r="65" spans="1:12" ht="18" customHeight="1" x14ac:dyDescent="0.3">
      <c r="A65" s="17" t="s">
        <v>123</v>
      </c>
      <c r="B65" s="9">
        <v>18752</v>
      </c>
      <c r="C65" s="9">
        <v>48</v>
      </c>
      <c r="D65" s="9">
        <v>13754</v>
      </c>
      <c r="E65" s="9">
        <v>4950</v>
      </c>
      <c r="F65" s="9">
        <v>29186486</v>
      </c>
      <c r="G65" s="6" t="s">
        <v>195</v>
      </c>
      <c r="H65" s="10">
        <v>43843</v>
      </c>
      <c r="I65" s="15">
        <f t="shared" si="3"/>
        <v>2.5597269624573378E-3</v>
      </c>
      <c r="J65" s="15">
        <f t="shared" si="4"/>
        <v>0.73346843003412965</v>
      </c>
      <c r="K65" s="15">
        <f t="shared" si="5"/>
        <v>6.4248913007204774E-4</v>
      </c>
      <c r="L65" t="str" cm="1">
        <f t="array" ref="L65">_xlfn.IFS(I65&gt;5%,"High Risk",I65&lt;2%,"Low Risk",I65&gt;=2%,"Moderate Risk")</f>
        <v>Low Risk</v>
      </c>
    </row>
    <row r="66" spans="1:12" ht="18" customHeight="1" x14ac:dyDescent="0.3">
      <c r="A66" s="16" t="s">
        <v>94</v>
      </c>
      <c r="B66" s="7">
        <v>17975</v>
      </c>
      <c r="C66" s="7">
        <v>285</v>
      </c>
      <c r="D66" s="7">
        <v>7833</v>
      </c>
      <c r="E66" s="7">
        <v>9857</v>
      </c>
      <c r="F66" s="7">
        <v>53881160</v>
      </c>
      <c r="G66" s="5" t="s">
        <v>197</v>
      </c>
      <c r="H66" s="8">
        <v>43903</v>
      </c>
      <c r="I66" s="15">
        <f t="shared" ref="I66:I97" si="6">C66/B66</f>
        <v>1.5855354659248956E-2</v>
      </c>
      <c r="J66" s="15">
        <f t="shared" ref="J66:J97" si="7">D66/B66</f>
        <v>0.4357719054242003</v>
      </c>
      <c r="K66" s="15">
        <f t="shared" ref="K66:K97" si="8">B66/F66</f>
        <v>3.3360454748932648E-4</v>
      </c>
      <c r="L66" t="str" cm="1">
        <f t="array" ref="L66">_xlfn.IFS(I66&gt;5%,"High Risk",I66&lt;2%,"Low Risk",I66&gt;=2%,"Moderate Risk")</f>
        <v>Low Risk</v>
      </c>
    </row>
    <row r="67" spans="1:12" ht="18" customHeight="1" x14ac:dyDescent="0.3">
      <c r="A67" s="17" t="s">
        <v>35</v>
      </c>
      <c r="B67" s="9">
        <v>17110</v>
      </c>
      <c r="C67" s="9">
        <v>391</v>
      </c>
      <c r="D67" s="9">
        <v>14539</v>
      </c>
      <c r="E67" s="9">
        <v>2180</v>
      </c>
      <c r="F67" s="9">
        <v>26606188</v>
      </c>
      <c r="G67" s="6" t="s">
        <v>197</v>
      </c>
      <c r="H67" s="10">
        <v>43896</v>
      </c>
      <c r="I67" s="15">
        <f t="shared" si="6"/>
        <v>2.2852133255406196E-2</v>
      </c>
      <c r="J67" s="15">
        <f t="shared" si="7"/>
        <v>0.84973699590882523</v>
      </c>
      <c r="K67" s="15">
        <f t="shared" si="8"/>
        <v>6.4308348118114476E-4</v>
      </c>
      <c r="L67" t="str" cm="1">
        <f t="array" ref="L67">_xlfn.IFS(I67&gt;5%,"High Risk",I67&lt;2%,"Low Risk",I67&gt;=2%,"Moderate Risk")</f>
        <v>Moderate Risk</v>
      </c>
    </row>
    <row r="68" spans="1:12" ht="18" customHeight="1" x14ac:dyDescent="0.3">
      <c r="A68" s="16" t="s">
        <v>183</v>
      </c>
      <c r="B68" s="7">
        <v>15988</v>
      </c>
      <c r="C68" s="7">
        <v>146</v>
      </c>
      <c r="D68" s="7">
        <v>9959</v>
      </c>
      <c r="E68" s="7">
        <v>5883</v>
      </c>
      <c r="F68" s="7">
        <v>28427499</v>
      </c>
      <c r="G68" s="5" t="s">
        <v>199</v>
      </c>
      <c r="H68" s="8">
        <v>43903</v>
      </c>
      <c r="I68" s="15">
        <f t="shared" si="6"/>
        <v>9.1318488866649981E-3</v>
      </c>
      <c r="J68" s="15">
        <f t="shared" si="7"/>
        <v>0.62290467850888165</v>
      </c>
      <c r="K68" s="15">
        <f t="shared" si="8"/>
        <v>5.624131760588577E-4</v>
      </c>
      <c r="L68" t="str" cm="1">
        <f t="array" ref="L68">_xlfn.IFS(I68&gt;5%,"High Risk",I68&lt;2%,"Low Risk",I68&gt;=2%,"Moderate Risk")</f>
        <v>Low Risk</v>
      </c>
    </row>
    <row r="69" spans="1:12" ht="18" customHeight="1" x14ac:dyDescent="0.3">
      <c r="A69" s="17" t="s">
        <v>45</v>
      </c>
      <c r="B69" s="9">
        <v>15841</v>
      </c>
      <c r="C69" s="9">
        <v>115</v>
      </c>
      <c r="D69" s="9">
        <v>3824</v>
      </c>
      <c r="E69" s="9">
        <v>11902</v>
      </c>
      <c r="F69" s="9">
        <v>5098730</v>
      </c>
      <c r="G69" s="6" t="s">
        <v>198</v>
      </c>
      <c r="H69" s="10">
        <v>43896</v>
      </c>
      <c r="I69" s="15">
        <f t="shared" si="6"/>
        <v>7.2596426993245377E-3</v>
      </c>
      <c r="J69" s="15">
        <f t="shared" si="7"/>
        <v>0.24139890158449592</v>
      </c>
      <c r="K69" s="15">
        <f t="shared" si="8"/>
        <v>3.1068520984637352E-3</v>
      </c>
      <c r="L69" t="str" cm="1">
        <f t="array" ref="L69">_xlfn.IFS(I69&gt;5%,"High Risk",I69&lt;2%,"Low Risk",I69&gt;=2%,"Moderate Risk")</f>
        <v>Low Risk</v>
      </c>
    </row>
    <row r="70" spans="1:12" ht="18" customHeight="1" x14ac:dyDescent="0.3">
      <c r="A70" s="16" t="s">
        <v>46</v>
      </c>
      <c r="B70" s="7">
        <v>15655</v>
      </c>
      <c r="C70" s="7">
        <v>96</v>
      </c>
      <c r="D70" s="7">
        <v>10361</v>
      </c>
      <c r="E70" s="7">
        <v>5198</v>
      </c>
      <c r="F70" s="11">
        <v>26172000</v>
      </c>
      <c r="G70" s="5" t="s">
        <v>197</v>
      </c>
      <c r="H70" s="8">
        <v>43901</v>
      </c>
      <c r="I70" s="15">
        <f t="shared" si="6"/>
        <v>6.1322261258383902E-3</v>
      </c>
      <c r="J70" s="15">
        <f t="shared" si="7"/>
        <v>0.66183328010220377</v>
      </c>
      <c r="K70" s="15">
        <f t="shared" si="8"/>
        <v>5.9815833715421058E-4</v>
      </c>
      <c r="L70" t="str" cm="1">
        <f t="array" ref="L70">_xlfn.IFS(I70&gt;5%,"High Risk",I70&lt;2%,"Low Risk",I70&gt;=2%,"Moderate Risk")</f>
        <v>Low Risk</v>
      </c>
    </row>
    <row r="71" spans="1:12" ht="18" customHeight="1" x14ac:dyDescent="0.3">
      <c r="A71" s="16" t="s">
        <v>50</v>
      </c>
      <c r="B71" s="7">
        <v>15516</v>
      </c>
      <c r="C71" s="7">
        <v>373</v>
      </c>
      <c r="D71" s="7">
        <v>11428</v>
      </c>
      <c r="E71" s="7">
        <v>3715</v>
      </c>
      <c r="F71" s="7">
        <v>10711019</v>
      </c>
      <c r="G71" s="5" t="s">
        <v>196</v>
      </c>
      <c r="H71" s="8">
        <v>43891</v>
      </c>
      <c r="I71" s="15">
        <f t="shared" si="6"/>
        <v>2.4039700953854087E-2</v>
      </c>
      <c r="J71" s="15">
        <f t="shared" si="7"/>
        <v>0.7365300335137922</v>
      </c>
      <c r="K71" s="15">
        <f t="shared" si="8"/>
        <v>1.4486016689915311E-3</v>
      </c>
      <c r="L71" t="str" cm="1">
        <f t="array" ref="L71">_xlfn.IFS(I71&gt;5%,"High Risk",I71&lt;2%,"Low Risk",I71&gt;=2%,"Moderate Risk")</f>
        <v>Moderate Risk</v>
      </c>
    </row>
    <row r="72" spans="1:12" ht="18" customHeight="1" x14ac:dyDescent="0.3">
      <c r="A72" s="16" t="s">
        <v>13</v>
      </c>
      <c r="B72" s="7">
        <v>15303</v>
      </c>
      <c r="C72" s="7">
        <v>167</v>
      </c>
      <c r="D72" s="7">
        <v>9311</v>
      </c>
      <c r="E72" s="7">
        <v>5825</v>
      </c>
      <c r="F72" s="7">
        <v>25528864</v>
      </c>
      <c r="G72" s="5" t="s">
        <v>200</v>
      </c>
      <c r="H72" s="8">
        <v>43855</v>
      </c>
      <c r="I72" s="15">
        <f t="shared" si="6"/>
        <v>1.0912892896817617E-2</v>
      </c>
      <c r="J72" s="15">
        <f t="shared" si="7"/>
        <v>0.60844278899562176</v>
      </c>
      <c r="K72" s="15">
        <f t="shared" si="8"/>
        <v>5.9943912897965216E-4</v>
      </c>
      <c r="L72" t="str" cm="1">
        <f t="array" ref="L72">_xlfn.IFS(I72&gt;5%,"High Risk",I72&lt;2%,"Low Risk",I72&gt;=2%,"Moderate Risk")</f>
        <v>Low Risk</v>
      </c>
    </row>
    <row r="73" spans="1:12" ht="18" customHeight="1" x14ac:dyDescent="0.3">
      <c r="A73" s="17" t="s">
        <v>57</v>
      </c>
      <c r="B73" s="9">
        <v>15035</v>
      </c>
      <c r="C73" s="9">
        <v>408</v>
      </c>
      <c r="D73" s="9">
        <v>7778</v>
      </c>
      <c r="E73" s="9">
        <v>6849</v>
      </c>
      <c r="F73" s="9">
        <v>6489514</v>
      </c>
      <c r="G73" s="6" t="s">
        <v>198</v>
      </c>
      <c r="H73" s="10">
        <v>43909</v>
      </c>
      <c r="I73" s="15">
        <f t="shared" si="6"/>
        <v>2.7136681077485868E-2</v>
      </c>
      <c r="J73" s="15">
        <f t="shared" si="7"/>
        <v>0.51732623877618888</v>
      </c>
      <c r="K73" s="15">
        <f t="shared" si="8"/>
        <v>2.3168144794818227E-3</v>
      </c>
      <c r="L73" t="str" cm="1">
        <f t="array" ref="L73">_xlfn.IFS(I73&gt;5%,"High Risk",I73&lt;2%,"Low Risk",I73&gt;=2%,"Moderate Risk")</f>
        <v>Moderate Risk</v>
      </c>
    </row>
    <row r="74" spans="1:12" ht="18" customHeight="1" x14ac:dyDescent="0.3">
      <c r="A74" s="16" t="s">
        <v>62</v>
      </c>
      <c r="B74" s="7">
        <v>14547</v>
      </c>
      <c r="C74" s="7">
        <v>228</v>
      </c>
      <c r="D74" s="7">
        <v>6386</v>
      </c>
      <c r="E74" s="7">
        <v>7933</v>
      </c>
      <c r="F74" s="7">
        <v>115223736</v>
      </c>
      <c r="G74" s="5" t="s">
        <v>197</v>
      </c>
      <c r="H74" s="8">
        <v>43903</v>
      </c>
      <c r="I74" s="15">
        <f t="shared" si="6"/>
        <v>1.5673334708187256E-2</v>
      </c>
      <c r="J74" s="15">
        <f t="shared" si="7"/>
        <v>0.43899085722142023</v>
      </c>
      <c r="K74" s="15">
        <f t="shared" si="8"/>
        <v>1.2625002890029533E-4</v>
      </c>
      <c r="L74" t="str" cm="1">
        <f t="array" ref="L74">_xlfn.IFS(I74&gt;5%,"High Risk",I74&lt;2%,"Low Risk",I74&gt;=2%,"Moderate Risk")</f>
        <v>Low Risk</v>
      </c>
    </row>
    <row r="75" spans="1:12" ht="18" customHeight="1" x14ac:dyDescent="0.3">
      <c r="A75" s="17" t="s">
        <v>159</v>
      </c>
      <c r="B75" s="9">
        <v>14203</v>
      </c>
      <c r="C75" s="9">
        <v>300</v>
      </c>
      <c r="D75" s="9">
        <v>13007</v>
      </c>
      <c r="E75" s="9">
        <v>896</v>
      </c>
      <c r="F75" s="9">
        <v>51273732</v>
      </c>
      <c r="G75" s="6" t="s">
        <v>195</v>
      </c>
      <c r="H75" s="10">
        <v>43850</v>
      </c>
      <c r="I75" s="15">
        <f t="shared" si="6"/>
        <v>2.1122298106033936E-2</v>
      </c>
      <c r="J75" s="15">
        <f t="shared" si="7"/>
        <v>0.91579243821727807</v>
      </c>
      <c r="K75" s="15">
        <f t="shared" si="8"/>
        <v>2.7700343715959667E-4</v>
      </c>
      <c r="L75" t="str" cm="1">
        <f t="array" ref="L75">_xlfn.IFS(I75&gt;5%,"High Risk",I75&lt;2%,"Low Risk",I75&gt;=2%,"Moderate Risk")</f>
        <v>Moderate Risk</v>
      </c>
    </row>
    <row r="76" spans="1:12" ht="18" customHeight="1" x14ac:dyDescent="0.3">
      <c r="A76" s="17" t="s">
        <v>51</v>
      </c>
      <c r="B76" s="9">
        <v>13761</v>
      </c>
      <c r="C76" s="9">
        <v>613</v>
      </c>
      <c r="D76" s="9">
        <v>12605</v>
      </c>
      <c r="E76" s="9">
        <v>543</v>
      </c>
      <c r="F76" s="9">
        <v>5794279</v>
      </c>
      <c r="G76" s="6" t="s">
        <v>196</v>
      </c>
      <c r="H76" s="10">
        <v>43888</v>
      </c>
      <c r="I76" s="15">
        <f t="shared" si="6"/>
        <v>4.454618123682872E-2</v>
      </c>
      <c r="J76" s="15">
        <f t="shared" si="7"/>
        <v>0.91599447714555626</v>
      </c>
      <c r="K76" s="15">
        <f t="shared" si="8"/>
        <v>2.3749287875160997E-3</v>
      </c>
      <c r="L76" t="str" cm="1">
        <f t="array" ref="L76">_xlfn.IFS(I76&gt;5%,"High Risk",I76&lt;2%,"Low Risk",I76&gt;=2%,"Moderate Risk")</f>
        <v>Moderate Risk</v>
      </c>
    </row>
    <row r="77" spans="1:12" ht="18" customHeight="1" x14ac:dyDescent="0.3">
      <c r="A77" s="18" t="s">
        <v>163</v>
      </c>
      <c r="B77" s="51">
        <v>11424</v>
      </c>
      <c r="C77" s="51">
        <v>720</v>
      </c>
      <c r="D77" s="51">
        <v>5939</v>
      </c>
      <c r="E77" s="51">
        <v>4765</v>
      </c>
      <c r="F77" s="51">
        <v>43943536</v>
      </c>
      <c r="G77" s="52" t="s">
        <v>197</v>
      </c>
      <c r="H77" s="53">
        <v>43903</v>
      </c>
      <c r="I77" s="54">
        <f t="shared" si="6"/>
        <v>6.3025210084033612E-2</v>
      </c>
      <c r="J77" s="54">
        <f t="shared" si="7"/>
        <v>0.51987044817927175</v>
      </c>
      <c r="K77" s="54">
        <f t="shared" si="8"/>
        <v>2.5996997601649536E-4</v>
      </c>
      <c r="L77" s="50" t="str" cm="1">
        <f t="array" ref="L77">_xlfn.IFS(I77&gt;5%,"High Risk",I77&lt;2%,"Low Risk",I77&gt;=2%,"Moderate Risk")</f>
        <v>High Risk</v>
      </c>
    </row>
    <row r="78" spans="1:12" ht="18" customHeight="1" x14ac:dyDescent="0.3">
      <c r="A78" s="17" t="s">
        <v>30</v>
      </c>
      <c r="B78" s="9">
        <v>10621</v>
      </c>
      <c r="C78" s="9">
        <v>347</v>
      </c>
      <c r="D78" s="9">
        <v>5585</v>
      </c>
      <c r="E78" s="9">
        <v>4689</v>
      </c>
      <c r="F78" s="9">
        <v>6942854</v>
      </c>
      <c r="G78" s="6" t="s">
        <v>196</v>
      </c>
      <c r="H78" s="10">
        <v>43898</v>
      </c>
      <c r="I78" s="15">
        <f t="shared" si="6"/>
        <v>3.2671123246398641E-2</v>
      </c>
      <c r="J78" s="15">
        <f t="shared" si="7"/>
        <v>0.52584502400903865</v>
      </c>
      <c r="K78" s="15">
        <f t="shared" si="8"/>
        <v>1.5297743550418891E-3</v>
      </c>
      <c r="L78" t="str" cm="1">
        <f t="array" ref="L78">_xlfn.IFS(I78&gt;5%,"High Risk",I78&lt;2%,"Low Risk",I78&gt;=2%,"Moderate Risk")</f>
        <v>Moderate Risk</v>
      </c>
    </row>
    <row r="79" spans="1:12" ht="18" customHeight="1" x14ac:dyDescent="0.3">
      <c r="A79" s="16" t="s">
        <v>185</v>
      </c>
      <c r="B79" s="7">
        <v>10621</v>
      </c>
      <c r="C79" s="7">
        <v>78</v>
      </c>
      <c r="D79" s="7">
        <v>3752</v>
      </c>
      <c r="E79" s="7">
        <v>6791</v>
      </c>
      <c r="F79" s="11">
        <v>4800000</v>
      </c>
      <c r="G79" s="5" t="s">
        <v>195</v>
      </c>
      <c r="H79" s="8">
        <v>43895</v>
      </c>
      <c r="I79" s="15">
        <f t="shared" si="6"/>
        <v>7.3439412484700125E-3</v>
      </c>
      <c r="J79" s="15">
        <f t="shared" si="7"/>
        <v>0.35326240466999342</v>
      </c>
      <c r="K79" s="15">
        <f t="shared" si="8"/>
        <v>2.2127083333333335E-3</v>
      </c>
      <c r="L79" t="str" cm="1">
        <f t="array" ref="L79">_xlfn.IFS(I79&gt;5%,"High Risk",I79&lt;2%,"Low Risk",I79&gt;=2%,"Moderate Risk")</f>
        <v>Low Risk</v>
      </c>
    </row>
    <row r="80" spans="1:12" ht="18" customHeight="1" x14ac:dyDescent="0.3">
      <c r="A80" s="17" t="s">
        <v>26</v>
      </c>
      <c r="B80" s="9">
        <v>10498</v>
      </c>
      <c r="C80" s="9">
        <v>294</v>
      </c>
      <c r="D80" s="9">
        <v>4930</v>
      </c>
      <c r="E80" s="9">
        <v>5274</v>
      </c>
      <c r="F80" s="9">
        <v>3278650</v>
      </c>
      <c r="G80" s="6" t="s">
        <v>196</v>
      </c>
      <c r="H80" s="10">
        <v>43895</v>
      </c>
      <c r="I80" s="15">
        <f t="shared" si="6"/>
        <v>2.8005334349399887E-2</v>
      </c>
      <c r="J80" s="15">
        <f t="shared" si="7"/>
        <v>0.46961325966850831</v>
      </c>
      <c r="K80" s="15">
        <f t="shared" si="8"/>
        <v>3.2019276226495663E-3</v>
      </c>
      <c r="L80" t="str" cm="1">
        <f t="array" ref="L80">_xlfn.IFS(I80&gt;5%,"High Risk",I80&lt;2%,"Low Risk",I80&gt;=2%,"Moderate Risk")</f>
        <v>Moderate Risk</v>
      </c>
    </row>
    <row r="81" spans="1:12" ht="18" customHeight="1" x14ac:dyDescent="0.3">
      <c r="A81" s="17" t="s">
        <v>129</v>
      </c>
      <c r="B81" s="9">
        <v>10213</v>
      </c>
      <c r="C81" s="9">
        <v>466</v>
      </c>
      <c r="D81" s="9">
        <v>5564</v>
      </c>
      <c r="E81" s="9">
        <v>4183</v>
      </c>
      <c r="F81" s="9">
        <v>2083365</v>
      </c>
      <c r="G81" s="6" t="s">
        <v>196</v>
      </c>
      <c r="H81" s="10">
        <v>43887</v>
      </c>
      <c r="I81" s="15">
        <f t="shared" si="6"/>
        <v>4.5628121022226575E-2</v>
      </c>
      <c r="J81" s="15">
        <f t="shared" si="7"/>
        <v>0.54479584842847351</v>
      </c>
      <c r="K81" s="15">
        <f t="shared" si="8"/>
        <v>4.9021654870845966E-3</v>
      </c>
      <c r="L81" t="str" cm="1">
        <f t="array" ref="L81">_xlfn.IFS(I81&gt;5%,"High Risk",I81&lt;2%,"Low Risk",I81&gt;=2%,"Moderate Risk")</f>
        <v>Moderate Risk</v>
      </c>
    </row>
    <row r="82" spans="1:12" ht="18" customHeight="1" x14ac:dyDescent="0.3">
      <c r="A82" s="16" t="s">
        <v>150</v>
      </c>
      <c r="B82" s="7">
        <v>9764</v>
      </c>
      <c r="C82" s="7">
        <v>194</v>
      </c>
      <c r="D82" s="7">
        <v>6477</v>
      </c>
      <c r="E82" s="7">
        <v>3093</v>
      </c>
      <c r="F82" s="7">
        <v>16783877</v>
      </c>
      <c r="G82" s="5" t="s">
        <v>197</v>
      </c>
      <c r="H82" s="8">
        <v>43892</v>
      </c>
      <c r="I82" s="15">
        <f t="shared" si="6"/>
        <v>1.9868906185989348E-2</v>
      </c>
      <c r="J82" s="15">
        <f t="shared" si="7"/>
        <v>0.66335518230233514</v>
      </c>
      <c r="K82" s="15">
        <f t="shared" si="8"/>
        <v>5.8174878188156404E-4</v>
      </c>
      <c r="L82" t="str" cm="1">
        <f t="array" ref="L82">_xlfn.IFS(I82&gt;5%,"High Risk",I82&lt;2%,"Low Risk",I82&gt;=2%,"Moderate Risk")</f>
        <v>Low Risk</v>
      </c>
    </row>
    <row r="83" spans="1:12" ht="18" customHeight="1" x14ac:dyDescent="0.3">
      <c r="A83" s="17" t="s">
        <v>107</v>
      </c>
      <c r="B83" s="9">
        <v>9690</v>
      </c>
      <c r="C83" s="9">
        <v>91</v>
      </c>
      <c r="D83" s="9">
        <v>6260</v>
      </c>
      <c r="E83" s="9">
        <v>3339</v>
      </c>
      <c r="F83" s="9">
        <v>27755708</v>
      </c>
      <c r="G83" s="6" t="s">
        <v>197</v>
      </c>
      <c r="H83" s="10">
        <v>43910</v>
      </c>
      <c r="I83" s="15">
        <f t="shared" si="6"/>
        <v>9.3911248710010324E-3</v>
      </c>
      <c r="J83" s="15">
        <f t="shared" si="7"/>
        <v>0.6460268317853457</v>
      </c>
      <c r="K83" s="15">
        <f t="shared" si="8"/>
        <v>3.491173779461868E-4</v>
      </c>
      <c r="L83" t="str" cm="1">
        <f t="array" ref="L83">_xlfn.IFS(I83&gt;5%,"High Risk",I83&lt;2%,"Low Risk",I83&gt;=2%,"Moderate Risk")</f>
        <v>Low Risk</v>
      </c>
    </row>
    <row r="84" spans="1:12" ht="18" customHeight="1" x14ac:dyDescent="0.3">
      <c r="A84" s="16" t="s">
        <v>130</v>
      </c>
      <c r="B84" s="7">
        <v>9132</v>
      </c>
      <c r="C84" s="7">
        <v>255</v>
      </c>
      <c r="D84" s="7">
        <v>8752</v>
      </c>
      <c r="E84" s="7">
        <v>125</v>
      </c>
      <c r="F84" s="7">
        <v>5425471</v>
      </c>
      <c r="G84" s="5" t="s">
        <v>196</v>
      </c>
      <c r="H84" s="8">
        <v>43887</v>
      </c>
      <c r="I84" s="15">
        <f t="shared" si="6"/>
        <v>2.7923784494086726E-2</v>
      </c>
      <c r="J84" s="15">
        <f t="shared" si="7"/>
        <v>0.95838808585194923</v>
      </c>
      <c r="K84" s="15">
        <f t="shared" si="8"/>
        <v>1.6831718389057834E-3</v>
      </c>
      <c r="L84" t="str" cm="1">
        <f t="array" ref="L84">_xlfn.IFS(I84&gt;5%,"High Risk",I84&lt;2%,"Low Risk",I84&gt;=2%,"Moderate Risk")</f>
        <v>Moderate Risk</v>
      </c>
    </row>
    <row r="85" spans="1:12" ht="18" customHeight="1" x14ac:dyDescent="0.3">
      <c r="A85" s="17" t="s">
        <v>109</v>
      </c>
      <c r="B85" s="9">
        <v>8904</v>
      </c>
      <c r="C85" s="9">
        <v>124</v>
      </c>
      <c r="D85" s="9">
        <v>8601</v>
      </c>
      <c r="E85" s="9">
        <v>179</v>
      </c>
      <c r="F85" s="9">
        <v>32406372</v>
      </c>
      <c r="G85" s="6" t="s">
        <v>195</v>
      </c>
      <c r="H85" s="10">
        <v>43855</v>
      </c>
      <c r="I85" s="15">
        <f t="shared" si="6"/>
        <v>1.3926325247079964E-2</v>
      </c>
      <c r="J85" s="15">
        <f t="shared" si="7"/>
        <v>0.96597035040431267</v>
      </c>
      <c r="K85" s="15">
        <f t="shared" si="8"/>
        <v>2.7476077852837093E-4</v>
      </c>
      <c r="L85" t="str" cm="1">
        <f t="array" ref="L85">_xlfn.IFS(I85&gt;5%,"High Risk",I85&lt;2%,"Low Risk",I85&gt;=2%,"Moderate Risk")</f>
        <v>Low Risk</v>
      </c>
    </row>
    <row r="86" spans="1:12" ht="18" customHeight="1" x14ac:dyDescent="0.3">
      <c r="A86" s="16" t="s">
        <v>44</v>
      </c>
      <c r="B86" s="7">
        <v>8844</v>
      </c>
      <c r="C86" s="7">
        <v>208</v>
      </c>
      <c r="D86" s="7">
        <v>5700</v>
      </c>
      <c r="E86" s="7">
        <v>2936</v>
      </c>
      <c r="F86" s="11">
        <v>96076573</v>
      </c>
      <c r="G86" s="5" t="s">
        <v>197</v>
      </c>
      <c r="H86" s="8">
        <v>43900</v>
      </c>
      <c r="I86" s="15">
        <f t="shared" si="6"/>
        <v>2.3518769787426504E-2</v>
      </c>
      <c r="J86" s="15">
        <f t="shared" si="7"/>
        <v>0.64450474898236088</v>
      </c>
      <c r="K86" s="15">
        <f t="shared" si="8"/>
        <v>9.2051576402501362E-5</v>
      </c>
      <c r="L86" t="str" cm="1">
        <f t="array" ref="L86">_xlfn.IFS(I86&gt;5%,"High Risk",I86&lt;2%,"Low Risk",I86&gt;=2%,"Moderate Risk")</f>
        <v>Moderate Risk</v>
      </c>
    </row>
    <row r="87" spans="1:12" ht="18" customHeight="1" x14ac:dyDescent="0.3">
      <c r="A87" s="17" t="s">
        <v>95</v>
      </c>
      <c r="B87" s="9">
        <v>7413</v>
      </c>
      <c r="C87" s="9">
        <v>185</v>
      </c>
      <c r="D87" s="9">
        <v>4027</v>
      </c>
      <c r="E87" s="9">
        <v>3201</v>
      </c>
      <c r="F87" s="21">
        <v>1790152</v>
      </c>
      <c r="G87" s="6" t="s">
        <v>196</v>
      </c>
      <c r="H87" s="10">
        <v>43903</v>
      </c>
      <c r="I87" s="15">
        <f t="shared" si="6"/>
        <v>2.4956158100634021E-2</v>
      </c>
      <c r="J87" s="15">
        <f t="shared" si="7"/>
        <v>0.54323485768244972</v>
      </c>
      <c r="K87" s="15">
        <f t="shared" si="8"/>
        <v>4.1409891450558392E-3</v>
      </c>
      <c r="L87" t="str" cm="1">
        <f t="array" ref="L87">_xlfn.IFS(I87&gt;5%,"High Risk",I87&lt;2%,"Low Risk",I87&gt;=2%,"Moderate Risk")</f>
        <v>Moderate Risk</v>
      </c>
    </row>
    <row r="88" spans="1:12" ht="18" customHeight="1" x14ac:dyDescent="0.3">
      <c r="A88" s="16" t="s">
        <v>64</v>
      </c>
      <c r="B88" s="7">
        <v>7398</v>
      </c>
      <c r="C88" s="7">
        <v>329</v>
      </c>
      <c r="D88" s="7">
        <v>6920</v>
      </c>
      <c r="E88" s="7">
        <v>149</v>
      </c>
      <c r="F88" s="7">
        <v>5541604</v>
      </c>
      <c r="G88" s="5" t="s">
        <v>196</v>
      </c>
      <c r="H88" s="8">
        <v>43887</v>
      </c>
      <c r="I88" s="15">
        <f t="shared" si="6"/>
        <v>4.4471478778048121E-2</v>
      </c>
      <c r="J88" s="15">
        <f t="shared" si="7"/>
        <v>0.93538794268721281</v>
      </c>
      <c r="K88" s="15">
        <f t="shared" si="8"/>
        <v>1.334992540066017E-3</v>
      </c>
      <c r="L88" t="str" cm="1">
        <f t="array" ref="L88">_xlfn.IFS(I88&gt;5%,"High Risk",I88&lt;2%,"Low Risk",I88&gt;=2%,"Moderate Risk")</f>
        <v>Moderate Risk</v>
      </c>
    </row>
    <row r="89" spans="1:12" ht="18" customHeight="1" x14ac:dyDescent="0.3">
      <c r="A89" s="16" t="s">
        <v>78</v>
      </c>
      <c r="B89" s="7">
        <v>7340</v>
      </c>
      <c r="C89" s="7">
        <v>158</v>
      </c>
      <c r="D89" s="7">
        <v>4365</v>
      </c>
      <c r="E89" s="7">
        <v>2817</v>
      </c>
      <c r="F89" s="7">
        <v>11416103</v>
      </c>
      <c r="G89" s="5" t="s">
        <v>198</v>
      </c>
      <c r="H89" s="8">
        <v>43909</v>
      </c>
      <c r="I89" s="15">
        <f t="shared" si="6"/>
        <v>2.1525885558583105E-2</v>
      </c>
      <c r="J89" s="15">
        <f t="shared" si="7"/>
        <v>0.59468664850136244</v>
      </c>
      <c r="K89" s="15">
        <f t="shared" si="8"/>
        <v>6.4295145199723587E-4</v>
      </c>
      <c r="L89" t="str" cm="1">
        <f t="array" ref="L89">_xlfn.IFS(I89&gt;5%,"High Risk",I89&lt;2%,"Low Risk",I89&gt;=2%,"Moderate Risk")</f>
        <v>Moderate Risk</v>
      </c>
    </row>
    <row r="90" spans="1:12" ht="18" customHeight="1" x14ac:dyDescent="0.3">
      <c r="A90" s="17" t="s">
        <v>168</v>
      </c>
      <c r="B90" s="9">
        <v>7235</v>
      </c>
      <c r="C90" s="9">
        <v>60</v>
      </c>
      <c r="D90" s="9">
        <v>6028</v>
      </c>
      <c r="E90" s="9">
        <v>1147</v>
      </c>
      <c r="F90" s="9">
        <v>9557468</v>
      </c>
      <c r="G90" s="6" t="s">
        <v>195</v>
      </c>
      <c r="H90" s="10">
        <v>43951</v>
      </c>
      <c r="I90" s="15">
        <f t="shared" si="6"/>
        <v>8.2930200414651004E-3</v>
      </c>
      <c r="J90" s="15">
        <f t="shared" si="7"/>
        <v>0.83317208016586042</v>
      </c>
      <c r="K90" s="15">
        <f t="shared" si="8"/>
        <v>7.569996572313922E-4</v>
      </c>
      <c r="L90" t="str" cm="1">
        <f t="array" ref="L90">_xlfn.IFS(I90&gt;5%,"High Risk",I90&lt;2%,"Low Risk",I90&gt;=2%,"Moderate Risk")</f>
        <v>Low Risk</v>
      </c>
    </row>
    <row r="91" spans="1:12" ht="18" customHeight="1" x14ac:dyDescent="0.3">
      <c r="A91" s="16" t="s">
        <v>66</v>
      </c>
      <c r="B91" s="7">
        <v>7189</v>
      </c>
      <c r="C91" s="7">
        <v>49</v>
      </c>
      <c r="D91" s="7">
        <v>4682</v>
      </c>
      <c r="E91" s="7">
        <v>2458</v>
      </c>
      <c r="F91" s="7">
        <v>2230563</v>
      </c>
      <c r="G91" s="5" t="s">
        <v>197</v>
      </c>
      <c r="H91" s="8">
        <v>43902</v>
      </c>
      <c r="I91" s="15">
        <f t="shared" si="6"/>
        <v>6.815968841285297E-3</v>
      </c>
      <c r="J91" s="15">
        <f t="shared" si="7"/>
        <v>0.65127277785505633</v>
      </c>
      <c r="K91" s="15">
        <f t="shared" si="8"/>
        <v>3.2229531288737417E-3</v>
      </c>
      <c r="L91" t="str" cm="1">
        <f t="array" ref="L91">_xlfn.IFS(I91&gt;5%,"High Risk",I91&lt;2%,"Low Risk",I91&gt;=2%,"Moderate Risk")</f>
        <v>Low Risk</v>
      </c>
    </row>
    <row r="92" spans="1:12" ht="18" customHeight="1" x14ac:dyDescent="0.3">
      <c r="A92" s="17" t="s">
        <v>75</v>
      </c>
      <c r="B92" s="9">
        <v>7055</v>
      </c>
      <c r="C92" s="9">
        <v>45</v>
      </c>
      <c r="D92" s="9">
        <v>6257</v>
      </c>
      <c r="E92" s="9">
        <v>753</v>
      </c>
      <c r="F92" s="9">
        <v>13164905</v>
      </c>
      <c r="G92" s="6" t="s">
        <v>197</v>
      </c>
      <c r="H92" s="10">
        <v>43903</v>
      </c>
      <c r="I92" s="15">
        <f t="shared" si="6"/>
        <v>6.3784549964564135E-3</v>
      </c>
      <c r="J92" s="15">
        <f t="shared" si="7"/>
        <v>0.88688873139617297</v>
      </c>
      <c r="K92" s="15">
        <f t="shared" si="8"/>
        <v>5.3589448613567661E-4</v>
      </c>
      <c r="L92" t="str" cm="1">
        <f t="array" ref="L92">_xlfn.IFS(I92&gt;5%,"High Risk",I92&lt;2%,"Low Risk",I92&gt;=2%,"Moderate Risk")</f>
        <v>Low Risk</v>
      </c>
    </row>
    <row r="93" spans="1:12" ht="18" customHeight="1" x14ac:dyDescent="0.3">
      <c r="A93" s="16" t="s">
        <v>106</v>
      </c>
      <c r="B93" s="7">
        <v>6321</v>
      </c>
      <c r="C93" s="7">
        <v>112</v>
      </c>
      <c r="D93" s="7">
        <v>4825</v>
      </c>
      <c r="E93" s="7">
        <v>1384</v>
      </c>
      <c r="F93" s="22">
        <v>626952</v>
      </c>
      <c r="G93" s="5" t="s">
        <v>196</v>
      </c>
      <c r="H93" s="8">
        <v>43890</v>
      </c>
      <c r="I93" s="15">
        <f t="shared" si="6"/>
        <v>1.7718715393133997E-2</v>
      </c>
      <c r="J93" s="15">
        <f t="shared" si="7"/>
        <v>0.763328587248853</v>
      </c>
      <c r="K93" s="15">
        <f t="shared" si="8"/>
        <v>1.0082111549209509E-2</v>
      </c>
      <c r="L93" t="str" cm="1">
        <f t="array" ref="L93">_xlfn.IFS(I93&gt;5%,"High Risk",I93&lt;2%,"Low Risk",I93&gt;=2%,"Moderate Risk")</f>
        <v>Low Risk</v>
      </c>
    </row>
    <row r="94" spans="1:12" ht="18" customHeight="1" x14ac:dyDescent="0.3">
      <c r="A94" s="17" t="s">
        <v>113</v>
      </c>
      <c r="B94" s="9">
        <v>6208</v>
      </c>
      <c r="C94" s="9">
        <v>156</v>
      </c>
      <c r="D94" s="9">
        <v>4653</v>
      </c>
      <c r="E94" s="9">
        <v>1399</v>
      </c>
      <c r="F94" s="9">
        <v>4660728</v>
      </c>
      <c r="G94" s="6" t="s">
        <v>197</v>
      </c>
      <c r="H94" s="10">
        <v>43903</v>
      </c>
      <c r="I94" s="15">
        <f t="shared" si="6"/>
        <v>2.5128865979381444E-2</v>
      </c>
      <c r="J94" s="15">
        <f t="shared" si="7"/>
        <v>0.74951675257731953</v>
      </c>
      <c r="K94" s="15">
        <f t="shared" si="8"/>
        <v>1.3319807549378553E-3</v>
      </c>
      <c r="L94" t="str" cm="1">
        <f t="array" ref="L94">_xlfn.IFS(I94&gt;5%,"High Risk",I94&lt;2%,"Low Risk",I94&gt;=2%,"Moderate Risk")</f>
        <v>Moderate Risk</v>
      </c>
    </row>
    <row r="95" spans="1:12" ht="18" customHeight="1" x14ac:dyDescent="0.3">
      <c r="A95" s="16" t="s">
        <v>52</v>
      </c>
      <c r="B95" s="7">
        <v>5059</v>
      </c>
      <c r="C95" s="7">
        <v>58</v>
      </c>
      <c r="D95" s="7">
        <v>4977</v>
      </c>
      <c r="E95" s="7">
        <v>24</v>
      </c>
      <c r="F95" s="7">
        <v>989387</v>
      </c>
      <c r="G95" s="5" t="s">
        <v>197</v>
      </c>
      <c r="H95" s="8">
        <v>43908</v>
      </c>
      <c r="I95" s="15">
        <f t="shared" si="6"/>
        <v>1.1464716347104172E-2</v>
      </c>
      <c r="J95" s="15">
        <f t="shared" si="7"/>
        <v>0.98379126309547338</v>
      </c>
      <c r="K95" s="15">
        <f t="shared" si="8"/>
        <v>5.1132671037723357E-3</v>
      </c>
      <c r="L95" t="str" cm="1">
        <f t="array" ref="L95">_xlfn.IFS(I95&gt;5%,"High Risk",I95&lt;2%,"Low Risk",I95&gt;=2%,"Moderate Risk")</f>
        <v>Low Risk</v>
      </c>
    </row>
    <row r="96" spans="1:12" ht="18" customHeight="1" x14ac:dyDescent="0.3">
      <c r="A96" s="17" t="s">
        <v>47</v>
      </c>
      <c r="B96" s="9">
        <v>4881</v>
      </c>
      <c r="C96" s="9">
        <v>139</v>
      </c>
      <c r="D96" s="9">
        <v>3936</v>
      </c>
      <c r="E96" s="9">
        <v>806</v>
      </c>
      <c r="F96" s="9">
        <v>4102577</v>
      </c>
      <c r="G96" s="6" t="s">
        <v>196</v>
      </c>
      <c r="H96" s="10">
        <v>43886</v>
      </c>
      <c r="I96" s="15">
        <f t="shared" si="6"/>
        <v>2.8477770948576113E-2</v>
      </c>
      <c r="J96" s="15">
        <f t="shared" si="7"/>
        <v>0.80639213275968036</v>
      </c>
      <c r="K96" s="15">
        <f t="shared" si="8"/>
        <v>1.1897400097548444E-3</v>
      </c>
      <c r="L96" t="str" cm="1">
        <f t="array" ref="L96">_xlfn.IFS(I96&gt;5%,"High Risk",I96&lt;2%,"Low Risk",I96&gt;=2%,"Moderate Risk")</f>
        <v>Moderate Risk</v>
      </c>
    </row>
    <row r="97" spans="1:19" ht="18" customHeight="1" x14ac:dyDescent="0.3">
      <c r="A97" s="17" t="s">
        <v>6</v>
      </c>
      <c r="B97" s="9">
        <v>4880</v>
      </c>
      <c r="C97" s="9">
        <v>144</v>
      </c>
      <c r="D97" s="9">
        <v>2745</v>
      </c>
      <c r="E97" s="9">
        <v>1991</v>
      </c>
      <c r="F97" s="9">
        <v>2877470</v>
      </c>
      <c r="G97" s="6" t="s">
        <v>196</v>
      </c>
      <c r="H97" s="10">
        <v>43899</v>
      </c>
      <c r="I97" s="15">
        <f t="shared" si="6"/>
        <v>2.9508196721311476E-2</v>
      </c>
      <c r="J97" s="15">
        <f t="shared" si="7"/>
        <v>0.5625</v>
      </c>
      <c r="K97" s="15">
        <f t="shared" si="8"/>
        <v>1.6959342755962703E-3</v>
      </c>
      <c r="L97" t="str" cm="1">
        <f t="array" ref="L97">_xlfn.IFS(I97&gt;5%,"High Risk",I97&lt;2%,"Low Risk",I97&gt;=2%,"Moderate Risk")</f>
        <v>Moderate Risk</v>
      </c>
      <c r="S97" s="1">
        <v>43913</v>
      </c>
    </row>
    <row r="98" spans="1:19" ht="18" customHeight="1" x14ac:dyDescent="0.3">
      <c r="A98" s="17" t="s">
        <v>37</v>
      </c>
      <c r="B98" s="9">
        <v>4599</v>
      </c>
      <c r="C98" s="9">
        <v>59</v>
      </c>
      <c r="D98" s="9">
        <v>1546</v>
      </c>
      <c r="E98" s="9">
        <v>2994</v>
      </c>
      <c r="F98" s="9">
        <v>4837752</v>
      </c>
      <c r="G98" s="6" t="s">
        <v>197</v>
      </c>
      <c r="H98" s="10">
        <v>43904</v>
      </c>
      <c r="I98" s="15">
        <f t="shared" ref="I98:I129" si="9">C98/B98</f>
        <v>1.2828875842574472E-2</v>
      </c>
      <c r="J98" s="15">
        <f t="shared" ref="J98:J129" si="10">D98/B98</f>
        <v>0.33616003479017176</v>
      </c>
      <c r="K98" s="15">
        <f t="shared" ref="K98:K129" si="11">B98/F98</f>
        <v>9.5064815228229974E-4</v>
      </c>
      <c r="L98" t="str" cm="1">
        <f t="array" ref="L98">_xlfn.IFS(I98&gt;5%,"High Risk",I98&lt;2%,"Low Risk",I98&gt;=2%,"Moderate Risk")</f>
        <v>Low Risk</v>
      </c>
    </row>
    <row r="99" spans="1:19" ht="18" customHeight="1" x14ac:dyDescent="0.3">
      <c r="A99" s="17" t="s">
        <v>188</v>
      </c>
      <c r="B99" s="9">
        <v>4552</v>
      </c>
      <c r="C99" s="9">
        <v>140</v>
      </c>
      <c r="D99" s="9">
        <v>2815</v>
      </c>
      <c r="E99" s="9">
        <v>1597</v>
      </c>
      <c r="F99" s="9">
        <v>18430129</v>
      </c>
      <c r="G99" s="6" t="s">
        <v>197</v>
      </c>
      <c r="H99" s="10">
        <v>43908</v>
      </c>
      <c r="I99" s="15">
        <f t="shared" si="9"/>
        <v>3.0755711775043937E-2</v>
      </c>
      <c r="J99" s="15">
        <f t="shared" si="10"/>
        <v>0.61840949033391912</v>
      </c>
      <c r="K99" s="15">
        <f t="shared" si="11"/>
        <v>2.4698687676033088E-4</v>
      </c>
      <c r="L99" t="str" cm="1">
        <f t="array" ref="L99">_xlfn.IFS(I99&gt;5%,"High Risk",I99&lt;2%,"Low Risk",I99&gt;=2%,"Moderate Risk")</f>
        <v>Moderate Risk</v>
      </c>
    </row>
    <row r="100" spans="1:19" ht="18" customHeight="1" x14ac:dyDescent="0.3">
      <c r="A100" s="17" t="s">
        <v>135</v>
      </c>
      <c r="B100" s="9">
        <v>4548</v>
      </c>
      <c r="C100" s="9">
        <v>43</v>
      </c>
      <c r="D100" s="9">
        <v>2905</v>
      </c>
      <c r="E100" s="9">
        <v>1600</v>
      </c>
      <c r="F100" s="9">
        <v>7141091</v>
      </c>
      <c r="G100" s="6" t="s">
        <v>199</v>
      </c>
      <c r="H100" s="10">
        <v>43897</v>
      </c>
      <c r="I100" s="15">
        <f t="shared" si="9"/>
        <v>9.4547053649956022E-3</v>
      </c>
      <c r="J100" s="15">
        <f t="shared" si="10"/>
        <v>0.63874230430958667</v>
      </c>
      <c r="K100" s="15">
        <f t="shared" si="11"/>
        <v>6.368774743243014E-4</v>
      </c>
      <c r="L100" t="str" cm="1">
        <f t="array" ref="L100">_xlfn.IFS(I100&gt;5%,"High Risk",I100&lt;2%,"Low Risk",I100&gt;=2%,"Moderate Risk")</f>
        <v>Low Risk</v>
      </c>
    </row>
    <row r="101" spans="1:19" ht="18" customHeight="1" x14ac:dyDescent="0.3">
      <c r="A101" s="18" t="s">
        <v>81</v>
      </c>
      <c r="B101" s="51">
        <v>4448</v>
      </c>
      <c r="C101" s="51">
        <v>596</v>
      </c>
      <c r="D101" s="51">
        <v>3329</v>
      </c>
      <c r="E101" s="51">
        <v>523</v>
      </c>
      <c r="F101" s="51">
        <v>9657785</v>
      </c>
      <c r="G101" s="52" t="s">
        <v>196</v>
      </c>
      <c r="H101" s="53">
        <v>43894</v>
      </c>
      <c r="I101" s="54">
        <f t="shared" si="9"/>
        <v>0.13399280575539568</v>
      </c>
      <c r="J101" s="54">
        <f t="shared" si="10"/>
        <v>0.74842625899280579</v>
      </c>
      <c r="K101" s="54">
        <f t="shared" si="11"/>
        <v>4.6056109138896753E-4</v>
      </c>
      <c r="L101" s="50" t="str" cm="1">
        <f t="array" ref="L101">_xlfn.IFS(I101&gt;5%,"High Risk",I101&lt;2%,"Low Risk",I101&gt;=2%,"Moderate Risk")</f>
        <v>High Risk</v>
      </c>
    </row>
    <row r="102" spans="1:19" ht="18" customHeight="1" x14ac:dyDescent="0.3">
      <c r="A102" s="17" t="s">
        <v>71</v>
      </c>
      <c r="B102" s="9">
        <v>4227</v>
      </c>
      <c r="C102" s="9">
        <v>202</v>
      </c>
      <c r="D102" s="9">
        <v>1374</v>
      </c>
      <c r="E102" s="9">
        <v>2651</v>
      </c>
      <c r="F102" s="9">
        <v>10417673</v>
      </c>
      <c r="G102" s="6" t="s">
        <v>196</v>
      </c>
      <c r="H102" s="10">
        <v>43887</v>
      </c>
      <c r="I102" s="15">
        <f t="shared" si="9"/>
        <v>4.7788029335225926E-2</v>
      </c>
      <c r="J102" s="15">
        <f t="shared" si="10"/>
        <v>0.32505322924059615</v>
      </c>
      <c r="K102" s="15">
        <f t="shared" si="11"/>
        <v>4.0575280103339776E-4</v>
      </c>
      <c r="L102" t="str" cm="1">
        <f t="array" ref="L102">_xlfn.IFS(I102&gt;5%,"High Risk",I102&lt;2%,"Low Risk",I102&gt;=2%,"Moderate Risk")</f>
        <v>Moderate Risk</v>
      </c>
    </row>
    <row r="103" spans="1:19" ht="18" customHeight="1" x14ac:dyDescent="0.3">
      <c r="A103" s="16" t="s">
        <v>100</v>
      </c>
      <c r="B103" s="7">
        <v>3882</v>
      </c>
      <c r="C103" s="7">
        <v>51</v>
      </c>
      <c r="D103" s="7">
        <v>1709</v>
      </c>
      <c r="E103" s="7">
        <v>2122</v>
      </c>
      <c r="F103" s="7">
        <v>6822220</v>
      </c>
      <c r="G103" s="5" t="s">
        <v>195</v>
      </c>
      <c r="H103" s="8">
        <v>43882</v>
      </c>
      <c r="I103" s="15">
        <f t="shared" si="9"/>
        <v>1.3137557959814529E-2</v>
      </c>
      <c r="J103" s="15">
        <f t="shared" si="10"/>
        <v>0.44023699124162802</v>
      </c>
      <c r="K103" s="15">
        <f t="shared" si="11"/>
        <v>5.6902298665243865E-4</v>
      </c>
      <c r="L103" t="str" cm="1">
        <f t="array" ref="L103">_xlfn.IFS(I103&gt;5%,"High Risk",I103&lt;2%,"Low Risk",I103&gt;=2%,"Moderate Risk")</f>
        <v>Low Risk</v>
      </c>
    </row>
    <row r="104" spans="1:19" ht="18" customHeight="1" x14ac:dyDescent="0.3">
      <c r="A104" s="16" t="s">
        <v>108</v>
      </c>
      <c r="B104" s="7">
        <v>3664</v>
      </c>
      <c r="C104" s="7">
        <v>99</v>
      </c>
      <c r="D104" s="7">
        <v>1645</v>
      </c>
      <c r="E104" s="7">
        <v>1920</v>
      </c>
      <c r="F104" s="7">
        <v>19174839</v>
      </c>
      <c r="G104" s="5" t="s">
        <v>197</v>
      </c>
      <c r="H104" s="8">
        <v>43922</v>
      </c>
      <c r="I104" s="15">
        <f t="shared" si="9"/>
        <v>2.7019650655021835E-2</v>
      </c>
      <c r="J104" s="15">
        <f t="shared" si="10"/>
        <v>0.44896288209606988</v>
      </c>
      <c r="K104" s="15">
        <f t="shared" si="11"/>
        <v>1.910837426066524E-4</v>
      </c>
      <c r="L104" t="str" cm="1">
        <f t="array" ref="L104">_xlfn.IFS(I104&gt;5%,"High Risk",I104&lt;2%,"Low Risk",I104&gt;=2%,"Moderate Risk")</f>
        <v>Moderate Risk</v>
      </c>
    </row>
    <row r="105" spans="1:19" ht="18" customHeight="1" x14ac:dyDescent="0.3">
      <c r="A105" s="16" t="s">
        <v>126</v>
      </c>
      <c r="B105" s="7">
        <v>3439</v>
      </c>
      <c r="C105" s="7">
        <v>108</v>
      </c>
      <c r="D105" s="7">
        <v>2492</v>
      </c>
      <c r="E105" s="7">
        <v>839</v>
      </c>
      <c r="F105" s="7">
        <v>6632263</v>
      </c>
      <c r="G105" s="5" t="s">
        <v>198</v>
      </c>
      <c r="H105" s="8">
        <v>43908</v>
      </c>
      <c r="I105" s="15">
        <f t="shared" si="9"/>
        <v>3.1404478045943589E-2</v>
      </c>
      <c r="J105" s="15">
        <f t="shared" si="10"/>
        <v>0.72462925268973544</v>
      </c>
      <c r="K105" s="15">
        <f t="shared" si="11"/>
        <v>5.1852587872344626E-4</v>
      </c>
      <c r="L105" t="str" cm="1">
        <f t="array" ref="L105">_xlfn.IFS(I105&gt;5%,"High Risk",I105&lt;2%,"Low Risk",I105&gt;=2%,"Moderate Risk")</f>
        <v>Moderate Risk</v>
      </c>
    </row>
    <row r="106" spans="1:19" ht="18" customHeight="1" x14ac:dyDescent="0.3">
      <c r="A106" s="16" t="s">
        <v>110</v>
      </c>
      <c r="B106" s="7">
        <v>3369</v>
      </c>
      <c r="C106" s="7">
        <v>15</v>
      </c>
      <c r="D106" s="7">
        <v>2547</v>
      </c>
      <c r="E106" s="7">
        <v>807</v>
      </c>
      <c r="F106" s="7">
        <v>541448</v>
      </c>
      <c r="G106" s="5" t="s">
        <v>195</v>
      </c>
      <c r="H106" s="8">
        <v>43897</v>
      </c>
      <c r="I106" s="15">
        <f t="shared" si="9"/>
        <v>4.4523597506678537E-3</v>
      </c>
      <c r="J106" s="15">
        <f t="shared" si="10"/>
        <v>0.75601068566340157</v>
      </c>
      <c r="K106" s="15">
        <f t="shared" si="11"/>
        <v>6.2222041636500643E-3</v>
      </c>
      <c r="L106" t="str" cm="1">
        <f t="array" ref="L106">_xlfn.IFS(I106&gt;5%,"High Risk",I106&lt;2%,"Low Risk",I106&gt;=2%,"Moderate Risk")</f>
        <v>Low Risk</v>
      </c>
    </row>
    <row r="107" spans="1:19" ht="18" customHeight="1" x14ac:dyDescent="0.3">
      <c r="A107" s="17" t="s">
        <v>170</v>
      </c>
      <c r="B107" s="9">
        <v>3297</v>
      </c>
      <c r="C107" s="9">
        <v>58</v>
      </c>
      <c r="D107" s="9">
        <v>3111</v>
      </c>
      <c r="E107" s="9">
        <v>128</v>
      </c>
      <c r="F107" s="9">
        <v>69817894</v>
      </c>
      <c r="G107" s="6" t="s">
        <v>195</v>
      </c>
      <c r="H107" s="10">
        <v>43843</v>
      </c>
      <c r="I107" s="15">
        <f t="shared" si="9"/>
        <v>1.7591750075826508E-2</v>
      </c>
      <c r="J107" s="15">
        <f t="shared" si="10"/>
        <v>0.94358507734303909</v>
      </c>
      <c r="K107" s="15">
        <f t="shared" si="11"/>
        <v>4.7222850921283877E-5</v>
      </c>
      <c r="L107" t="str" cm="1">
        <f t="array" ref="L107">_xlfn.IFS(I107&gt;5%,"High Risk",I107&lt;2%,"Low Risk",I107&gt;=2%,"Moderate Risk")</f>
        <v>Low Risk</v>
      </c>
    </row>
    <row r="108" spans="1:19" ht="18" customHeight="1" x14ac:dyDescent="0.3">
      <c r="A108" s="17" t="s">
        <v>43</v>
      </c>
      <c r="B108" s="9">
        <v>3200</v>
      </c>
      <c r="C108" s="9">
        <v>54</v>
      </c>
      <c r="D108" s="9">
        <v>829</v>
      </c>
      <c r="E108" s="9">
        <v>2317</v>
      </c>
      <c r="F108" s="9">
        <v>5530506</v>
      </c>
      <c r="G108" s="6" t="s">
        <v>197</v>
      </c>
      <c r="H108" s="10">
        <v>43904</v>
      </c>
      <c r="I108" s="15">
        <f t="shared" si="9"/>
        <v>1.6875000000000001E-2</v>
      </c>
      <c r="J108" s="15">
        <f t="shared" si="10"/>
        <v>0.25906249999999997</v>
      </c>
      <c r="K108" s="15">
        <f t="shared" si="11"/>
        <v>5.7860890124701071E-4</v>
      </c>
      <c r="L108" t="str" cm="1">
        <f t="array" ref="L108">_xlfn.IFS(I108&gt;5%,"High Risk",I108&lt;2%,"Low Risk",I108&gt;=2%,"Moderate Risk")</f>
        <v>Low Risk</v>
      </c>
    </row>
    <row r="109" spans="1:19" ht="18" customHeight="1" x14ac:dyDescent="0.3">
      <c r="A109" s="17" t="s">
        <v>157</v>
      </c>
      <c r="B109" s="9">
        <v>3196</v>
      </c>
      <c r="C109" s="9">
        <v>93</v>
      </c>
      <c r="D109" s="9">
        <v>1543</v>
      </c>
      <c r="E109" s="9">
        <v>1560</v>
      </c>
      <c r="F109" s="9">
        <v>15933012</v>
      </c>
      <c r="G109" s="6" t="s">
        <v>197</v>
      </c>
      <c r="H109" s="10">
        <v>43906</v>
      </c>
      <c r="I109" s="15">
        <f t="shared" si="9"/>
        <v>2.9098873591989989E-2</v>
      </c>
      <c r="J109" s="15">
        <f t="shared" si="10"/>
        <v>0.48279098873591991</v>
      </c>
      <c r="K109" s="15">
        <f t="shared" si="11"/>
        <v>2.0058981942648382E-4</v>
      </c>
      <c r="L109" t="str" cm="1">
        <f t="array" ref="L109">_xlfn.IFS(I109&gt;5%,"High Risk",I109&lt;2%,"Low Risk",I109&gt;=2%,"Moderate Risk")</f>
        <v>Moderate Risk</v>
      </c>
    </row>
    <row r="110" spans="1:19" ht="18" customHeight="1" x14ac:dyDescent="0.3">
      <c r="A110" s="16" t="s">
        <v>58</v>
      </c>
      <c r="B110" s="7">
        <v>3071</v>
      </c>
      <c r="C110" s="7">
        <v>51</v>
      </c>
      <c r="D110" s="7">
        <v>842</v>
      </c>
      <c r="E110" s="7">
        <v>2178</v>
      </c>
      <c r="F110" s="7">
        <v>1407001</v>
      </c>
      <c r="G110" s="5" t="s">
        <v>197</v>
      </c>
      <c r="H110" s="8">
        <v>43904</v>
      </c>
      <c r="I110" s="15">
        <f t="shared" si="9"/>
        <v>1.6606968414197329E-2</v>
      </c>
      <c r="J110" s="15">
        <f t="shared" si="10"/>
        <v>0.27417779225008143</v>
      </c>
      <c r="K110" s="15">
        <f t="shared" si="11"/>
        <v>2.1826565865980196E-3</v>
      </c>
      <c r="L110" t="str" cm="1">
        <f t="array" ref="L110">_xlfn.IFS(I110&gt;5%,"High Risk",I110&lt;2%,"Low Risk",I110&gt;=2%,"Moderate Risk")</f>
        <v>Low Risk</v>
      </c>
    </row>
    <row r="111" spans="1:19" ht="18" customHeight="1" x14ac:dyDescent="0.3">
      <c r="A111" s="17" t="s">
        <v>119</v>
      </c>
      <c r="B111" s="9">
        <v>2893</v>
      </c>
      <c r="C111" s="9">
        <v>45</v>
      </c>
      <c r="D111" s="9">
        <v>809</v>
      </c>
      <c r="E111" s="9">
        <v>2039</v>
      </c>
      <c r="F111" s="9">
        <v>628074</v>
      </c>
      <c r="G111" s="6" t="s">
        <v>196</v>
      </c>
      <c r="H111" s="10">
        <v>43907</v>
      </c>
      <c r="I111" s="15">
        <f t="shared" si="9"/>
        <v>1.5554787417905289E-2</v>
      </c>
      <c r="J111" s="15">
        <f t="shared" si="10"/>
        <v>0.27964051157967507</v>
      </c>
      <c r="K111" s="15">
        <f t="shared" si="11"/>
        <v>4.6061451357642573E-3</v>
      </c>
      <c r="L111" t="str" cm="1">
        <f t="array" ref="L111">_xlfn.IFS(I111&gt;5%,"High Risk",I111&lt;2%,"Low Risk",I111&gt;=2%,"Moderate Risk")</f>
        <v>Low Risk</v>
      </c>
    </row>
    <row r="112" spans="1:19" ht="18" customHeight="1" x14ac:dyDescent="0.3">
      <c r="A112" s="17" t="s">
        <v>103</v>
      </c>
      <c r="B112" s="9">
        <v>2827</v>
      </c>
      <c r="C112" s="9">
        <v>64</v>
      </c>
      <c r="D112" s="9">
        <v>577</v>
      </c>
      <c r="E112" s="9">
        <v>2186</v>
      </c>
      <c r="F112" s="9">
        <v>6880353</v>
      </c>
      <c r="G112" s="6" t="s">
        <v>197</v>
      </c>
      <c r="H112" s="10">
        <v>43914</v>
      </c>
      <c r="I112" s="15">
        <f t="shared" si="9"/>
        <v>2.2638839759462327E-2</v>
      </c>
      <c r="J112" s="15">
        <f t="shared" si="10"/>
        <v>0.20410328970640254</v>
      </c>
      <c r="K112" s="15">
        <f t="shared" si="11"/>
        <v>4.1088008129815432E-4</v>
      </c>
      <c r="L112" t="str" cm="1">
        <f t="array" ref="L112">_xlfn.IFS(I112&gt;5%,"High Risk",I112&lt;2%,"Low Risk",I112&gt;=2%,"Moderate Risk")</f>
        <v>Moderate Risk</v>
      </c>
    </row>
    <row r="113" spans="1:12" ht="18" customHeight="1" x14ac:dyDescent="0.3">
      <c r="A113" s="16" t="s">
        <v>162</v>
      </c>
      <c r="B113" s="7">
        <v>2805</v>
      </c>
      <c r="C113" s="7">
        <v>11</v>
      </c>
      <c r="D113" s="7">
        <v>2121</v>
      </c>
      <c r="E113" s="7">
        <v>673</v>
      </c>
      <c r="F113" s="7">
        <v>21422362</v>
      </c>
      <c r="G113" s="5" t="s">
        <v>195</v>
      </c>
      <c r="H113" s="8">
        <v>43857</v>
      </c>
      <c r="I113" s="15">
        <f t="shared" si="9"/>
        <v>3.9215686274509803E-3</v>
      </c>
      <c r="J113" s="15">
        <f t="shared" si="10"/>
        <v>0.75614973262032081</v>
      </c>
      <c r="K113" s="15">
        <f t="shared" si="11"/>
        <v>1.3093794232400704E-4</v>
      </c>
      <c r="L113" t="str" cm="1">
        <f t="array" ref="L113">_xlfn.IFS(I113&gt;5%,"High Risk",I113&lt;2%,"Low Risk",I113&gt;=2%,"Moderate Risk")</f>
        <v>Low Risk</v>
      </c>
    </row>
    <row r="114" spans="1:12" ht="18" customHeight="1" x14ac:dyDescent="0.3">
      <c r="A114" s="16" t="s">
        <v>189</v>
      </c>
      <c r="B114" s="7">
        <v>2704</v>
      </c>
      <c r="C114" s="7">
        <v>36</v>
      </c>
      <c r="D114" s="7">
        <v>542</v>
      </c>
      <c r="E114" s="7">
        <v>2126</v>
      </c>
      <c r="F114" s="7">
        <v>14883803</v>
      </c>
      <c r="G114" s="5" t="s">
        <v>197</v>
      </c>
      <c r="H114" s="8">
        <v>43911</v>
      </c>
      <c r="I114" s="15">
        <f t="shared" si="9"/>
        <v>1.3313609467455622E-2</v>
      </c>
      <c r="J114" s="15">
        <f t="shared" si="10"/>
        <v>0.20044378698224852</v>
      </c>
      <c r="K114" s="15">
        <f t="shared" si="11"/>
        <v>1.8167399823821909E-4</v>
      </c>
      <c r="L114" t="str" cm="1">
        <f t="array" ref="L114">_xlfn.IFS(I114&gt;5%,"High Risk",I114&lt;2%,"Low Risk",I114&gt;=2%,"Moderate Risk")</f>
        <v>Low Risk</v>
      </c>
    </row>
    <row r="115" spans="1:12" ht="18" customHeight="1" x14ac:dyDescent="0.3">
      <c r="A115" s="16" t="s">
        <v>48</v>
      </c>
      <c r="B115" s="7">
        <v>2532</v>
      </c>
      <c r="C115" s="7">
        <v>87</v>
      </c>
      <c r="D115" s="7">
        <v>2351</v>
      </c>
      <c r="E115" s="7">
        <v>94</v>
      </c>
      <c r="F115" s="7">
        <v>11325899</v>
      </c>
      <c r="G115" s="5" t="s">
        <v>198</v>
      </c>
      <c r="H115" s="8">
        <v>43901</v>
      </c>
      <c r="I115" s="15">
        <f t="shared" si="9"/>
        <v>3.4360189573459717E-2</v>
      </c>
      <c r="J115" s="15">
        <f t="shared" si="10"/>
        <v>0.92851500789889418</v>
      </c>
      <c r="K115" s="15">
        <f t="shared" si="11"/>
        <v>2.2355841244920161E-4</v>
      </c>
      <c r="L115" t="str" cm="1">
        <f t="array" ref="L115">_xlfn.IFS(I115&gt;5%,"High Risk",I115&lt;2%,"Low Risk",I115&gt;=2%,"Moderate Risk")</f>
        <v>Moderate Risk</v>
      </c>
    </row>
    <row r="116" spans="1:12" ht="18" customHeight="1" x14ac:dyDescent="0.3">
      <c r="A116" s="17" t="s">
        <v>111</v>
      </c>
      <c r="B116" s="9">
        <v>2513</v>
      </c>
      <c r="C116" s="9">
        <v>124</v>
      </c>
      <c r="D116" s="9">
        <v>1913</v>
      </c>
      <c r="E116" s="9">
        <v>476</v>
      </c>
      <c r="F116" s="9">
        <v>20302901</v>
      </c>
      <c r="G116" s="6" t="s">
        <v>197</v>
      </c>
      <c r="H116" s="10">
        <v>43915</v>
      </c>
      <c r="I116" s="15">
        <f t="shared" si="9"/>
        <v>4.9343414245921209E-2</v>
      </c>
      <c r="J116" s="15">
        <f t="shared" si="10"/>
        <v>0.76124154397134902</v>
      </c>
      <c r="K116" s="15">
        <f t="shared" si="11"/>
        <v>1.2377541514880066E-4</v>
      </c>
      <c r="L116" t="str" cm="1">
        <f t="array" ref="L116">_xlfn.IFS(I116&gt;5%,"High Risk",I116&lt;2%,"Low Risk",I116&gt;=2%,"Moderate Risk")</f>
        <v>Moderate Risk</v>
      </c>
    </row>
    <row r="117" spans="1:12" ht="18" customHeight="1" x14ac:dyDescent="0.3">
      <c r="A117" s="17" t="s">
        <v>33</v>
      </c>
      <c r="B117" s="9">
        <v>2328</v>
      </c>
      <c r="C117" s="9">
        <v>22</v>
      </c>
      <c r="D117" s="9">
        <v>1550</v>
      </c>
      <c r="E117" s="9">
        <v>756</v>
      </c>
      <c r="F117" s="9">
        <v>556581</v>
      </c>
      <c r="G117" s="6" t="s">
        <v>197</v>
      </c>
      <c r="H117" s="10">
        <v>43910</v>
      </c>
      <c r="I117" s="15">
        <f t="shared" si="9"/>
        <v>9.4501718213058413E-3</v>
      </c>
      <c r="J117" s="15">
        <f t="shared" si="10"/>
        <v>0.66580756013745701</v>
      </c>
      <c r="K117" s="15">
        <f t="shared" si="11"/>
        <v>4.1826796099759065E-3</v>
      </c>
      <c r="L117" t="str" cm="1">
        <f t="array" ref="L117">_xlfn.IFS(I117&gt;5%,"High Risk",I117&lt;2%,"Low Risk",I117&gt;=2%,"Moderate Risk")</f>
        <v>Low Risk</v>
      </c>
    </row>
    <row r="118" spans="1:12" ht="18" customHeight="1" x14ac:dyDescent="0.3">
      <c r="A118" s="17" t="s">
        <v>61</v>
      </c>
      <c r="B118" s="9">
        <v>2316</v>
      </c>
      <c r="C118" s="9">
        <v>34</v>
      </c>
      <c r="D118" s="9">
        <v>1025</v>
      </c>
      <c r="E118" s="9">
        <v>1257</v>
      </c>
      <c r="F118" s="9">
        <v>1161348</v>
      </c>
      <c r="G118" s="6" t="s">
        <v>197</v>
      </c>
      <c r="H118" s="10">
        <v>43904</v>
      </c>
      <c r="I118" s="15">
        <f t="shared" si="9"/>
        <v>1.468048359240069E-2</v>
      </c>
      <c r="J118" s="15">
        <f t="shared" si="10"/>
        <v>0.442573402417962</v>
      </c>
      <c r="K118" s="15">
        <f t="shared" si="11"/>
        <v>1.9942342863637774E-3</v>
      </c>
      <c r="L118" t="str" cm="1">
        <f t="array" ref="L118">_xlfn.IFS(I118&gt;5%,"High Risk",I118&lt;2%,"Low Risk",I118&gt;=2%,"Moderate Risk")</f>
        <v>Low Risk</v>
      </c>
    </row>
    <row r="119" spans="1:12" ht="18" customHeight="1" x14ac:dyDescent="0.3">
      <c r="A119" s="16" t="s">
        <v>160</v>
      </c>
      <c r="B119" s="7">
        <v>2305</v>
      </c>
      <c r="C119" s="7">
        <v>46</v>
      </c>
      <c r="D119" s="7">
        <v>1175</v>
      </c>
      <c r="E119" s="7">
        <v>1084</v>
      </c>
      <c r="F119" s="7">
        <v>11206572</v>
      </c>
      <c r="G119" s="5" t="s">
        <v>197</v>
      </c>
      <c r="H119" s="8">
        <v>43926</v>
      </c>
      <c r="I119" s="15">
        <f t="shared" si="9"/>
        <v>1.9956616052060738E-2</v>
      </c>
      <c r="J119" s="15">
        <f t="shared" si="10"/>
        <v>0.50976138828633411</v>
      </c>
      <c r="K119" s="15">
        <f t="shared" si="11"/>
        <v>2.0568287965311784E-4</v>
      </c>
      <c r="L119" t="str" cm="1">
        <f t="array" ref="L119">_xlfn.IFS(I119&gt;5%,"High Risk",I119&lt;2%,"Low Risk",I119&gt;=2%,"Moderate Risk")</f>
        <v>Low Risk</v>
      </c>
    </row>
    <row r="120" spans="1:12" ht="18" customHeight="1" x14ac:dyDescent="0.3">
      <c r="A120" s="17" t="s">
        <v>155</v>
      </c>
      <c r="B120" s="9">
        <v>2181</v>
      </c>
      <c r="C120" s="9">
        <v>28</v>
      </c>
      <c r="D120" s="9">
        <v>1616</v>
      </c>
      <c r="E120" s="9">
        <v>537</v>
      </c>
      <c r="F120" s="9">
        <v>5459915</v>
      </c>
      <c r="G120" s="6" t="s">
        <v>196</v>
      </c>
      <c r="H120" s="10">
        <v>43896</v>
      </c>
      <c r="I120" s="15">
        <f t="shared" si="9"/>
        <v>1.2838147638697846E-2</v>
      </c>
      <c r="J120" s="15">
        <f t="shared" si="10"/>
        <v>0.74094452086198992</v>
      </c>
      <c r="K120" s="15">
        <f t="shared" si="11"/>
        <v>3.994567680998697E-4</v>
      </c>
      <c r="L120" t="str" cm="1">
        <f t="array" ref="L120">_xlfn.IFS(I120&gt;5%,"High Risk",I120&lt;2%,"Low Risk",I120&gt;=2%,"Moderate Risk")</f>
        <v>Low Risk</v>
      </c>
    </row>
    <row r="121" spans="1:12" ht="18" customHeight="1" x14ac:dyDescent="0.3">
      <c r="A121" s="19" t="s">
        <v>156</v>
      </c>
      <c r="B121" s="55">
        <v>2087</v>
      </c>
      <c r="C121" s="55">
        <v>116</v>
      </c>
      <c r="D121" s="55">
        <v>1733</v>
      </c>
      <c r="E121" s="55">
        <v>238</v>
      </c>
      <c r="F121" s="55">
        <v>2078968</v>
      </c>
      <c r="G121" s="56" t="s">
        <v>196</v>
      </c>
      <c r="H121" s="57">
        <v>43894</v>
      </c>
      <c r="I121" s="54">
        <f t="shared" si="9"/>
        <v>5.558217537134643E-2</v>
      </c>
      <c r="J121" s="54">
        <f t="shared" si="10"/>
        <v>0.83037853378054627</v>
      </c>
      <c r="K121" s="54">
        <f t="shared" si="11"/>
        <v>1.0038634553297598E-3</v>
      </c>
      <c r="L121" s="50" t="str" cm="1">
        <f t="array" ref="L121">_xlfn.IFS(I121&gt;5%,"High Risk",I121&lt;2%,"Low Risk",I121&gt;=2%,"Moderate Risk")</f>
        <v>High Risk</v>
      </c>
    </row>
    <row r="122" spans="1:12" ht="18" customHeight="1" x14ac:dyDescent="0.3">
      <c r="A122" s="16" t="s">
        <v>60</v>
      </c>
      <c r="B122" s="7">
        <v>2034</v>
      </c>
      <c r="C122" s="7">
        <v>69</v>
      </c>
      <c r="D122" s="7">
        <v>1923</v>
      </c>
      <c r="E122" s="7">
        <v>42</v>
      </c>
      <c r="F122" s="7">
        <v>1326627</v>
      </c>
      <c r="G122" s="5" t="s">
        <v>196</v>
      </c>
      <c r="H122" s="8">
        <v>43888</v>
      </c>
      <c r="I122" s="15">
        <f t="shared" si="9"/>
        <v>3.3923303834808259E-2</v>
      </c>
      <c r="J122" s="15">
        <f t="shared" si="10"/>
        <v>0.94542772861356927</v>
      </c>
      <c r="K122" s="15">
        <f t="shared" si="11"/>
        <v>1.5332116714042456E-3</v>
      </c>
      <c r="L122" t="str" cm="1">
        <f t="array" ref="L122">_xlfn.IFS(I122&gt;5%,"High Risk",I122&lt;2%,"Low Risk",I122&gt;=2%,"Moderate Risk")</f>
        <v>Moderate Risk</v>
      </c>
    </row>
    <row r="123" spans="1:12" ht="18" customHeight="1" x14ac:dyDescent="0.3">
      <c r="A123" s="17" t="s">
        <v>105</v>
      </c>
      <c r="B123" s="9">
        <v>2019</v>
      </c>
      <c r="C123" s="9">
        <v>80</v>
      </c>
      <c r="D123" s="9">
        <v>1620</v>
      </c>
      <c r="E123" s="9">
        <v>319</v>
      </c>
      <c r="F123" s="9">
        <v>2718121</v>
      </c>
      <c r="G123" s="6" t="s">
        <v>196</v>
      </c>
      <c r="H123" s="10">
        <v>43889</v>
      </c>
      <c r="I123" s="15">
        <f t="shared" si="9"/>
        <v>3.9623576027736501E-2</v>
      </c>
      <c r="J123" s="15">
        <f t="shared" si="10"/>
        <v>0.80237741456166423</v>
      </c>
      <c r="K123" s="15">
        <f t="shared" si="11"/>
        <v>7.4279253940497862E-4</v>
      </c>
      <c r="L123" t="str" cm="1">
        <f t="array" ref="L123">_xlfn.IFS(I123&gt;5%,"High Risk",I123&lt;2%,"Low Risk",I123&gt;=2%,"Moderate Risk")</f>
        <v>Moderate Risk</v>
      </c>
    </row>
    <row r="124" spans="1:12" ht="18" customHeight="1" x14ac:dyDescent="0.3">
      <c r="A124" s="16" t="s">
        <v>76</v>
      </c>
      <c r="B124" s="7">
        <v>1954</v>
      </c>
      <c r="C124" s="7">
        <v>26</v>
      </c>
      <c r="D124" s="7">
        <v>803</v>
      </c>
      <c r="E124" s="7">
        <v>1125</v>
      </c>
      <c r="F124" s="7">
        <v>1972277</v>
      </c>
      <c r="G124" s="5" t="s">
        <v>197</v>
      </c>
      <c r="H124" s="8">
        <v>43915</v>
      </c>
      <c r="I124" s="15">
        <f t="shared" si="9"/>
        <v>1.3306038894575231E-2</v>
      </c>
      <c r="J124" s="15">
        <f t="shared" si="10"/>
        <v>0.41095189355168882</v>
      </c>
      <c r="K124" s="15">
        <f t="shared" si="11"/>
        <v>9.907330461187754E-4</v>
      </c>
      <c r="L124" t="str" cm="1">
        <f t="array" ref="L124">_xlfn.IFS(I124&gt;5%,"High Risk",I124&lt;2%,"Low Risk",I124&gt;=2%,"Moderate Risk")</f>
        <v>Low Risk</v>
      </c>
    </row>
    <row r="125" spans="1:12" ht="18" customHeight="1" x14ac:dyDescent="0.3">
      <c r="A125" s="17" t="s">
        <v>143</v>
      </c>
      <c r="B125" s="9">
        <v>1879</v>
      </c>
      <c r="C125" s="9">
        <v>5</v>
      </c>
      <c r="D125" s="9">
        <v>975</v>
      </c>
      <c r="E125" s="9">
        <v>899</v>
      </c>
      <c r="F125" s="9">
        <v>12981546</v>
      </c>
      <c r="G125" s="6" t="s">
        <v>197</v>
      </c>
      <c r="H125" s="10">
        <v>43904</v>
      </c>
      <c r="I125" s="15">
        <f t="shared" si="9"/>
        <v>2.6609898882384245E-3</v>
      </c>
      <c r="J125" s="15">
        <f t="shared" si="10"/>
        <v>0.51889302820649286</v>
      </c>
      <c r="K125" s="15">
        <f t="shared" si="11"/>
        <v>1.4474393111575461E-4</v>
      </c>
      <c r="L125" t="str" cm="1">
        <f t="array" ref="L125">_xlfn.IFS(I125&gt;5%,"High Risk",I125&lt;2%,"Low Risk",I125&gt;=2%,"Moderate Risk")</f>
        <v>Low Risk</v>
      </c>
    </row>
    <row r="126" spans="1:12" ht="18" customHeight="1" x14ac:dyDescent="0.3">
      <c r="A126" s="16" t="s">
        <v>82</v>
      </c>
      <c r="B126" s="7">
        <v>1854</v>
      </c>
      <c r="C126" s="7">
        <v>10</v>
      </c>
      <c r="D126" s="7">
        <v>1823</v>
      </c>
      <c r="E126" s="7">
        <v>21</v>
      </c>
      <c r="F126" s="7">
        <v>341465</v>
      </c>
      <c r="G126" s="5" t="s">
        <v>196</v>
      </c>
      <c r="H126" s="8">
        <v>43889</v>
      </c>
      <c r="I126" s="15">
        <f t="shared" si="9"/>
        <v>5.3937432578209281E-3</v>
      </c>
      <c r="J126" s="15">
        <f t="shared" si="10"/>
        <v>0.98327939590075508</v>
      </c>
      <c r="K126" s="15">
        <f t="shared" si="11"/>
        <v>5.4295462199639788E-3</v>
      </c>
      <c r="L126" t="str" cm="1">
        <f t="array" ref="L126">_xlfn.IFS(I126&gt;5%,"High Risk",I126&lt;2%,"Low Risk",I126&gt;=2%,"Moderate Risk")</f>
        <v>Low Risk</v>
      </c>
    </row>
    <row r="127" spans="1:12" ht="18" customHeight="1" x14ac:dyDescent="0.3">
      <c r="A127" s="16" t="s">
        <v>122</v>
      </c>
      <c r="B127" s="7">
        <v>1843</v>
      </c>
      <c r="C127" s="7">
        <v>8</v>
      </c>
      <c r="D127" s="7">
        <v>101</v>
      </c>
      <c r="E127" s="7">
        <v>1734</v>
      </c>
      <c r="F127" s="7">
        <v>2545264</v>
      </c>
      <c r="G127" s="5" t="s">
        <v>197</v>
      </c>
      <c r="H127" s="8">
        <v>43904</v>
      </c>
      <c r="I127" s="15">
        <f t="shared" si="9"/>
        <v>4.3407487791644059E-3</v>
      </c>
      <c r="J127" s="15">
        <f t="shared" si="10"/>
        <v>5.4801953336950621E-2</v>
      </c>
      <c r="K127" s="15">
        <f t="shared" si="11"/>
        <v>7.2408991758811663E-4</v>
      </c>
      <c r="L127" t="str" cm="1">
        <f t="array" ref="L127">_xlfn.IFS(I127&gt;5%,"High Risk",I127&lt;2%,"Low Risk",I127&gt;=2%,"Moderate Risk")</f>
        <v>Low Risk</v>
      </c>
    </row>
    <row r="128" spans="1:12" ht="18" customHeight="1" x14ac:dyDescent="0.3">
      <c r="A128" s="17" t="s">
        <v>153</v>
      </c>
      <c r="B128" s="9">
        <v>1783</v>
      </c>
      <c r="C128" s="9">
        <v>66</v>
      </c>
      <c r="D128" s="9">
        <v>1317</v>
      </c>
      <c r="E128" s="9">
        <v>400</v>
      </c>
      <c r="F128" s="9">
        <v>7992169</v>
      </c>
      <c r="G128" s="6" t="s">
        <v>197</v>
      </c>
      <c r="H128" s="10">
        <v>43921</v>
      </c>
      <c r="I128" s="15">
        <f t="shared" si="9"/>
        <v>3.7016264722378012E-2</v>
      </c>
      <c r="J128" s="15">
        <f t="shared" si="10"/>
        <v>0.73864273696017946</v>
      </c>
      <c r="K128" s="15">
        <f t="shared" si="11"/>
        <v>2.230933805328691E-4</v>
      </c>
      <c r="L128" t="str" cm="1">
        <f t="array" ref="L128">_xlfn.IFS(I128&gt;5%,"High Risk",I128&lt;2%,"Low Risk",I128&gt;=2%,"Moderate Risk")</f>
        <v>Moderate Risk</v>
      </c>
    </row>
    <row r="129" spans="1:14" ht="18" customHeight="1" x14ac:dyDescent="0.3">
      <c r="A129" s="16" t="s">
        <v>23</v>
      </c>
      <c r="B129" s="7">
        <v>1770</v>
      </c>
      <c r="C129" s="7">
        <v>35</v>
      </c>
      <c r="D129" s="7">
        <v>1036</v>
      </c>
      <c r="E129" s="7">
        <v>699</v>
      </c>
      <c r="F129" s="7">
        <v>12151976</v>
      </c>
      <c r="G129" s="5" t="s">
        <v>197</v>
      </c>
      <c r="H129" s="8">
        <v>43906</v>
      </c>
      <c r="I129" s="15">
        <f t="shared" si="9"/>
        <v>1.977401129943503E-2</v>
      </c>
      <c r="J129" s="15">
        <f t="shared" si="10"/>
        <v>0.58531073446327686</v>
      </c>
      <c r="K129" s="15">
        <f t="shared" si="11"/>
        <v>1.4565532387489903E-4</v>
      </c>
      <c r="L129" t="str" cm="1">
        <f t="array" ref="L129">_xlfn.IFS(I129&gt;5%,"High Risk",I129&lt;2%,"Low Risk",I129&gt;=2%,"Moderate Risk")</f>
        <v>Low Risk</v>
      </c>
    </row>
    <row r="130" spans="1:14" ht="18" customHeight="1" x14ac:dyDescent="0.3">
      <c r="A130" s="17" t="s">
        <v>121</v>
      </c>
      <c r="B130" s="9">
        <v>1701</v>
      </c>
      <c r="C130" s="9">
        <v>11</v>
      </c>
      <c r="D130" s="9">
        <v>0</v>
      </c>
      <c r="E130" s="9">
        <v>1690</v>
      </c>
      <c r="F130" s="9">
        <v>31333962</v>
      </c>
      <c r="G130" s="6" t="s">
        <v>197</v>
      </c>
      <c r="H130" s="10">
        <v>43912</v>
      </c>
      <c r="I130" s="15">
        <f t="shared" ref="I130:I161" si="12">C130/B130</f>
        <v>6.4667842445620223E-3</v>
      </c>
      <c r="J130" s="15">
        <f t="shared" ref="J130:J161" si="13">D130/B130</f>
        <v>0</v>
      </c>
      <c r="K130" s="15">
        <f t="shared" ref="K130:K188" si="14">B130/F130</f>
        <v>5.4286144854583022E-5</v>
      </c>
      <c r="L130" t="str" cm="1">
        <f t="array" ref="L130">_xlfn.IFS(I130&gt;5%,"High Risk",I130&lt;2%,"Low Risk",I130&gt;=2%,"Moderate Risk")</f>
        <v>Low Risk</v>
      </c>
    </row>
    <row r="131" spans="1:14" ht="18" customHeight="1" x14ac:dyDescent="0.3">
      <c r="A131" s="19" t="s">
        <v>187</v>
      </c>
      <c r="B131" s="55">
        <v>1691</v>
      </c>
      <c r="C131" s="55">
        <v>483</v>
      </c>
      <c r="D131" s="55">
        <v>833</v>
      </c>
      <c r="E131" s="55">
        <v>375</v>
      </c>
      <c r="F131" s="55">
        <v>29886897</v>
      </c>
      <c r="G131" s="56" t="s">
        <v>195</v>
      </c>
      <c r="H131" s="57">
        <v>43931</v>
      </c>
      <c r="I131" s="54">
        <f t="shared" si="12"/>
        <v>0.28562980484920164</v>
      </c>
      <c r="J131" s="54">
        <f t="shared" si="13"/>
        <v>0.49260792430514488</v>
      </c>
      <c r="K131" s="54">
        <f t="shared" si="14"/>
        <v>5.6579978844909859E-5</v>
      </c>
      <c r="L131" s="50" t="str" cm="1">
        <f t="array" ref="L131">_xlfn.IFS(I131&gt;5%,"High Risk",I131&lt;2%,"Low Risk",I131&gt;=2%,"Moderate Risk")</f>
        <v>High Risk</v>
      </c>
    </row>
    <row r="132" spans="1:14" ht="18" customHeight="1" x14ac:dyDescent="0.3">
      <c r="A132" s="17" t="s">
        <v>125</v>
      </c>
      <c r="B132" s="9">
        <v>1557</v>
      </c>
      <c r="C132" s="9">
        <v>22</v>
      </c>
      <c r="D132" s="9">
        <v>1514</v>
      </c>
      <c r="E132" s="9">
        <v>21</v>
      </c>
      <c r="F132" s="9">
        <v>5002100</v>
      </c>
      <c r="G132" s="6" t="s">
        <v>200</v>
      </c>
      <c r="H132" s="10">
        <v>43889</v>
      </c>
      <c r="I132" s="15">
        <f t="shared" si="12"/>
        <v>1.4129736673089274E-2</v>
      </c>
      <c r="J132" s="15">
        <f t="shared" si="13"/>
        <v>0.97238278741168915</v>
      </c>
      <c r="K132" s="15">
        <f t="shared" si="14"/>
        <v>3.112692669078987E-4</v>
      </c>
      <c r="L132" t="str" cm="1">
        <f t="array" ref="L132">_xlfn.IFS(I132&gt;5%,"High Risk",I132&lt;2%,"Low Risk",I132&gt;=2%,"Moderate Risk")</f>
        <v>Low Risk</v>
      </c>
    </row>
    <row r="133" spans="1:14" ht="18" customHeight="1" x14ac:dyDescent="0.3">
      <c r="A133" s="16" t="s">
        <v>164</v>
      </c>
      <c r="B133" s="7">
        <v>1483</v>
      </c>
      <c r="C133" s="7">
        <v>24</v>
      </c>
      <c r="D133" s="7">
        <v>925</v>
      </c>
      <c r="E133" s="7">
        <v>534</v>
      </c>
      <c r="F133" s="7">
        <v>587154</v>
      </c>
      <c r="G133" s="5" t="s">
        <v>199</v>
      </c>
      <c r="H133" s="8">
        <v>43903</v>
      </c>
      <c r="I133" s="15">
        <f t="shared" si="12"/>
        <v>1.6183412002697236E-2</v>
      </c>
      <c r="J133" s="15">
        <f t="shared" si="13"/>
        <v>0.62373567093728932</v>
      </c>
      <c r="K133" s="15">
        <f t="shared" si="14"/>
        <v>2.5257428204525558E-3</v>
      </c>
      <c r="L133" t="str" cm="1">
        <f t="array" ref="L133">_xlfn.IFS(I133&gt;5%,"High Risk",I133&lt;2%,"Low Risk",I133&gt;=2%,"Moderate Risk")</f>
        <v>Low Risk</v>
      </c>
    </row>
    <row r="134" spans="1:14" ht="18" customHeight="1" x14ac:dyDescent="0.3">
      <c r="A134" s="17" t="s">
        <v>174</v>
      </c>
      <c r="B134" s="9">
        <v>1455</v>
      </c>
      <c r="C134" s="9">
        <v>50</v>
      </c>
      <c r="D134" s="9">
        <v>1157</v>
      </c>
      <c r="E134" s="9">
        <v>248</v>
      </c>
      <c r="F134" s="9">
        <v>11830801</v>
      </c>
      <c r="G134" s="6" t="s">
        <v>197</v>
      </c>
      <c r="H134" s="10">
        <v>43892</v>
      </c>
      <c r="I134" s="15">
        <f t="shared" si="12"/>
        <v>3.4364261168384883E-2</v>
      </c>
      <c r="J134" s="15">
        <f t="shared" si="13"/>
        <v>0.79518900343642607</v>
      </c>
      <c r="K134" s="15">
        <f t="shared" si="14"/>
        <v>1.2298406506879795E-4</v>
      </c>
      <c r="L134" t="str" cm="1">
        <f t="array" ref="L134">_xlfn.IFS(I134&gt;5%,"High Risk",I134&lt;2%,"Low Risk",I134&gt;=2%,"Moderate Risk")</f>
        <v>Moderate Risk</v>
      </c>
    </row>
    <row r="135" spans="1:14" ht="18" customHeight="1" x14ac:dyDescent="0.3">
      <c r="A135" s="17" t="s">
        <v>99</v>
      </c>
      <c r="B135" s="9">
        <v>1219</v>
      </c>
      <c r="C135" s="9">
        <v>31</v>
      </c>
      <c r="D135" s="9">
        <v>1045</v>
      </c>
      <c r="E135" s="9">
        <v>143</v>
      </c>
      <c r="F135" s="9">
        <v>1883936</v>
      </c>
      <c r="G135" s="6" t="s">
        <v>196</v>
      </c>
      <c r="H135" s="10">
        <v>43892</v>
      </c>
      <c r="I135" s="15">
        <f t="shared" si="12"/>
        <v>2.5430680885972109E-2</v>
      </c>
      <c r="J135" s="15">
        <f t="shared" si="13"/>
        <v>0.85726004922067267</v>
      </c>
      <c r="K135" s="15">
        <f t="shared" si="14"/>
        <v>6.4704958130212494E-4</v>
      </c>
      <c r="L135" t="str" cm="1">
        <f t="array" ref="L135">_xlfn.IFS(I135&gt;5%,"High Risk",I135&lt;2%,"Low Risk",I135&gt;=2%,"Moderate Risk")</f>
        <v>Moderate Risk</v>
      </c>
    </row>
    <row r="136" spans="1:14" ht="18" customHeight="1" x14ac:dyDescent="0.3">
      <c r="A136" s="16" t="s">
        <v>181</v>
      </c>
      <c r="B136" s="7">
        <v>1202</v>
      </c>
      <c r="C136" s="7">
        <v>35</v>
      </c>
      <c r="D136" s="7">
        <v>951</v>
      </c>
      <c r="E136" s="7">
        <v>216</v>
      </c>
      <c r="F136" s="7">
        <v>3474956</v>
      </c>
      <c r="G136" s="5" t="s">
        <v>199</v>
      </c>
      <c r="H136" s="8">
        <v>43903</v>
      </c>
      <c r="I136" s="15">
        <f t="shared" si="12"/>
        <v>2.9118136439267885E-2</v>
      </c>
      <c r="J136" s="15">
        <f t="shared" si="13"/>
        <v>0.79118136439267883</v>
      </c>
      <c r="K136" s="15">
        <f t="shared" si="14"/>
        <v>3.4590366036289381E-4</v>
      </c>
      <c r="L136" t="str" cm="1">
        <f t="array" ref="L136">_xlfn.IFS(I136&gt;5%,"High Risk",I136&lt;2%,"Low Risk",I136&gt;=2%,"Moderate Risk")</f>
        <v>Moderate Risk</v>
      </c>
    </row>
    <row r="137" spans="1:14" ht="18" customHeight="1" x14ac:dyDescent="0.3">
      <c r="A137" s="16" t="s">
        <v>92</v>
      </c>
      <c r="B137" s="7">
        <v>1176</v>
      </c>
      <c r="C137" s="7">
        <v>11</v>
      </c>
      <c r="D137" s="7">
        <v>1041</v>
      </c>
      <c r="E137" s="7">
        <v>124</v>
      </c>
      <c r="F137" s="7">
        <v>10213138</v>
      </c>
      <c r="G137" s="5" t="s">
        <v>195</v>
      </c>
      <c r="H137" s="8">
        <v>43892</v>
      </c>
      <c r="I137" s="15">
        <f t="shared" si="12"/>
        <v>9.3537414965986394E-3</v>
      </c>
      <c r="J137" s="15">
        <f t="shared" si="13"/>
        <v>0.88520408163265307</v>
      </c>
      <c r="K137" s="15">
        <f t="shared" si="14"/>
        <v>1.1514580533426651E-4</v>
      </c>
      <c r="L137" t="str" cm="1">
        <f t="array" ref="L137">_xlfn.IFS(I137&gt;5%,"High Risk",I137&lt;2%,"Low Risk",I137&gt;=2%,"Moderate Risk")</f>
        <v>Low Risk</v>
      </c>
    </row>
    <row r="138" spans="1:14" ht="18" customHeight="1" x14ac:dyDescent="0.3">
      <c r="A138" s="19" t="s">
        <v>102</v>
      </c>
      <c r="B138" s="55">
        <v>1167</v>
      </c>
      <c r="C138" s="55">
        <v>72</v>
      </c>
      <c r="D138" s="55">
        <v>646</v>
      </c>
      <c r="E138" s="55">
        <v>449</v>
      </c>
      <c r="F138" s="55">
        <v>5068618</v>
      </c>
      <c r="G138" s="56" t="s">
        <v>197</v>
      </c>
      <c r="H138" s="57">
        <v>43906</v>
      </c>
      <c r="I138" s="54">
        <f t="shared" si="12"/>
        <v>6.1696658097686374E-2</v>
      </c>
      <c r="J138" s="54">
        <f t="shared" si="13"/>
        <v>0.55355612682090827</v>
      </c>
      <c r="K138" s="54">
        <f t="shared" si="14"/>
        <v>2.3024027456793942E-4</v>
      </c>
      <c r="L138" s="50" t="str" cm="1">
        <f t="array" ref="L138">_xlfn.IFS(I138&gt;5%,"High Risk",I138&lt;2%,"Low Risk",I138&gt;=2%,"Moderate Risk")</f>
        <v>High Risk</v>
      </c>
    </row>
    <row r="139" spans="1:14" ht="18" customHeight="1" x14ac:dyDescent="0.3">
      <c r="A139" s="16" t="s">
        <v>68</v>
      </c>
      <c r="B139" s="7">
        <v>1137</v>
      </c>
      <c r="C139" s="7">
        <v>16</v>
      </c>
      <c r="D139" s="7">
        <v>922</v>
      </c>
      <c r="E139" s="7">
        <v>199</v>
      </c>
      <c r="F139" s="7">
        <v>3988368</v>
      </c>
      <c r="G139" s="5" t="s">
        <v>195</v>
      </c>
      <c r="H139" s="8">
        <v>43887</v>
      </c>
      <c r="I139" s="15">
        <f t="shared" si="12"/>
        <v>1.4072119613016711E-2</v>
      </c>
      <c r="J139" s="15">
        <f t="shared" si="13"/>
        <v>0.81090589270008795</v>
      </c>
      <c r="K139" s="15">
        <f t="shared" si="14"/>
        <v>2.8507900976038319E-4</v>
      </c>
      <c r="L139" t="str" cm="1">
        <f t="array" ref="L139">_xlfn.IFS(I139&gt;5%,"High Risk",I139&lt;2%,"Low Risk",I139&gt;=2%,"Moderate Risk")</f>
        <v>Low Risk</v>
      </c>
    </row>
    <row r="140" spans="1:14" ht="18" customHeight="1" x14ac:dyDescent="0.3">
      <c r="A140" s="18" t="s">
        <v>127</v>
      </c>
      <c r="B140" s="51">
        <v>1132</v>
      </c>
      <c r="C140" s="51">
        <v>69</v>
      </c>
      <c r="D140" s="51">
        <v>1027</v>
      </c>
      <c r="E140" s="51">
        <v>36</v>
      </c>
      <c r="F140" s="51">
        <v>24281433</v>
      </c>
      <c r="G140" s="52" t="s">
        <v>197</v>
      </c>
      <c r="H140" s="53">
        <v>43909</v>
      </c>
      <c r="I140" s="54">
        <f t="shared" si="12"/>
        <v>6.0954063604240286E-2</v>
      </c>
      <c r="J140" s="54">
        <f t="shared" si="13"/>
        <v>0.90724381625441697</v>
      </c>
      <c r="K140" s="54">
        <f t="shared" si="14"/>
        <v>4.6619983260460779E-5</v>
      </c>
      <c r="L140" s="50" t="str" cm="1">
        <f t="array" ref="L140">_xlfn.IFS(I140&gt;5%,"High Risk",I140&lt;2%,"Low Risk",I140&gt;=2%,"Moderate Risk")</f>
        <v>High Risk</v>
      </c>
    </row>
    <row r="141" spans="1:14" ht="18" customHeight="1" x14ac:dyDescent="0.3">
      <c r="A141" s="16" t="s">
        <v>177</v>
      </c>
      <c r="B141" s="7">
        <v>1128</v>
      </c>
      <c r="C141" s="7">
        <v>2</v>
      </c>
      <c r="D141" s="7">
        <v>986</v>
      </c>
      <c r="E141" s="7">
        <v>140</v>
      </c>
      <c r="F141" s="7">
        <v>45867852</v>
      </c>
      <c r="G141" s="5" t="s">
        <v>197</v>
      </c>
      <c r="H141" s="8">
        <v>43912</v>
      </c>
      <c r="I141" s="15">
        <f t="shared" si="12"/>
        <v>1.7730496453900709E-3</v>
      </c>
      <c r="J141" s="15">
        <f t="shared" si="13"/>
        <v>0.87411347517730498</v>
      </c>
      <c r="K141" s="15">
        <f t="shared" si="14"/>
        <v>2.4592387714166339E-5</v>
      </c>
      <c r="L141" t="str" cm="1">
        <f t="array" ref="L141">_xlfn.IFS(I141&gt;5%,"High Risk",I141&lt;2%,"Low Risk",I141&gt;=2%,"Moderate Risk")</f>
        <v>Low Risk</v>
      </c>
    </row>
    <row r="142" spans="1:14" ht="18" customHeight="1" x14ac:dyDescent="0.3">
      <c r="A142" s="16" t="s">
        <v>31</v>
      </c>
      <c r="B142" s="7">
        <v>1100</v>
      </c>
      <c r="C142" s="7">
        <v>53</v>
      </c>
      <c r="D142" s="7">
        <v>926</v>
      </c>
      <c r="E142" s="7">
        <v>121</v>
      </c>
      <c r="F142" s="7">
        <v>20954852</v>
      </c>
      <c r="G142" s="5" t="s">
        <v>197</v>
      </c>
      <c r="H142" s="8">
        <v>43899</v>
      </c>
      <c r="I142" s="15">
        <f t="shared" si="12"/>
        <v>4.818181818181818E-2</v>
      </c>
      <c r="J142" s="15">
        <f t="shared" si="13"/>
        <v>0.8418181818181818</v>
      </c>
      <c r="K142" s="15">
        <f t="shared" si="14"/>
        <v>5.2493809071044739E-5</v>
      </c>
      <c r="L142" t="str" cm="1">
        <f t="array" ref="L142">_xlfn.IFS(I142&gt;5%,"High Risk",I142&lt;2%,"Low Risk",I142&gt;=2%,"Moderate Risk")</f>
        <v>Moderate Risk</v>
      </c>
      <c r="N142" s="15"/>
    </row>
    <row r="143" spans="1:14" ht="18" customHeight="1" x14ac:dyDescent="0.3">
      <c r="A143" s="17" t="s">
        <v>49</v>
      </c>
      <c r="B143" s="9">
        <v>1060</v>
      </c>
      <c r="C143" s="9">
        <v>19</v>
      </c>
      <c r="D143" s="9">
        <v>852</v>
      </c>
      <c r="E143" s="9">
        <v>189</v>
      </c>
      <c r="F143" s="9">
        <v>1208238</v>
      </c>
      <c r="G143" s="6" t="s">
        <v>195</v>
      </c>
      <c r="H143" s="10">
        <v>43899</v>
      </c>
      <c r="I143" s="15">
        <f t="shared" si="12"/>
        <v>1.7924528301886792E-2</v>
      </c>
      <c r="J143" s="15">
        <f t="shared" si="13"/>
        <v>0.80377358490566042</v>
      </c>
      <c r="K143" s="15">
        <f t="shared" si="14"/>
        <v>8.7731059609116749E-4</v>
      </c>
      <c r="L143" t="str" cm="1">
        <f t="array" ref="L143">_xlfn.IFS(I143&gt;5%,"High Risk",I143&lt;2%,"Low Risk",I143&gt;=2%,"Moderate Risk")</f>
        <v>Low Risk</v>
      </c>
    </row>
    <row r="144" spans="1:14" ht="18" customHeight="1" x14ac:dyDescent="0.3">
      <c r="A144" s="16" t="s">
        <v>9</v>
      </c>
      <c r="B144" s="7">
        <v>950</v>
      </c>
      <c r="C144" s="7">
        <v>41</v>
      </c>
      <c r="D144" s="7">
        <v>242</v>
      </c>
      <c r="E144" s="7">
        <v>667</v>
      </c>
      <c r="F144" s="7">
        <v>32956300</v>
      </c>
      <c r="G144" s="5" t="s">
        <v>197</v>
      </c>
      <c r="H144" s="8">
        <v>43911</v>
      </c>
      <c r="I144" s="15">
        <f t="shared" si="12"/>
        <v>4.3157894736842103E-2</v>
      </c>
      <c r="J144" s="15">
        <f t="shared" si="13"/>
        <v>0.25473684210526315</v>
      </c>
      <c r="K144" s="15">
        <f t="shared" si="14"/>
        <v>2.8826051468156317E-5</v>
      </c>
      <c r="L144" t="str" cm="1">
        <f t="array" ref="L144">_xlfn.IFS(I144&gt;5%,"High Risk",I144&lt;2%,"Low Risk",I144&gt;=2%,"Moderate Risk")</f>
        <v>Moderate Risk</v>
      </c>
    </row>
    <row r="145" spans="1:12" ht="18" customHeight="1" x14ac:dyDescent="0.3">
      <c r="A145" s="19" t="s">
        <v>38</v>
      </c>
      <c r="B145" s="55">
        <v>922</v>
      </c>
      <c r="C145" s="55">
        <v>75</v>
      </c>
      <c r="D145" s="55">
        <v>810</v>
      </c>
      <c r="E145" s="55">
        <v>37</v>
      </c>
      <c r="F145" s="58" t="s">
        <v>201</v>
      </c>
      <c r="G145" s="56" t="s">
        <v>197</v>
      </c>
      <c r="H145" s="57">
        <v>43909</v>
      </c>
      <c r="I145" s="54">
        <f t="shared" si="12"/>
        <v>8.1344902386117135E-2</v>
      </c>
      <c r="J145" s="54">
        <f t="shared" si="13"/>
        <v>0.87852494577006512</v>
      </c>
      <c r="K145" s="54">
        <f>922/17224679</f>
        <v>5.3527848037110008E-5</v>
      </c>
      <c r="L145" s="50" t="str" cm="1">
        <f t="array" ref="L145">_xlfn.IFS(I145&gt;5%,"High Risk",I145&lt;2%,"Low Risk",I145&gt;=2%,"Moderate Risk")</f>
        <v>High Risk</v>
      </c>
    </row>
    <row r="146" spans="1:12" ht="18" customHeight="1" x14ac:dyDescent="0.3">
      <c r="A146" s="18" t="s">
        <v>8</v>
      </c>
      <c r="B146" s="51">
        <v>907</v>
      </c>
      <c r="C146" s="51">
        <v>52</v>
      </c>
      <c r="D146" s="51">
        <v>803</v>
      </c>
      <c r="E146" s="51">
        <v>52</v>
      </c>
      <c r="F146" s="51">
        <v>77278</v>
      </c>
      <c r="G146" s="52" t="s">
        <v>196</v>
      </c>
      <c r="H146" s="53">
        <v>43892</v>
      </c>
      <c r="I146" s="54">
        <f t="shared" si="12"/>
        <v>5.7331863285556783E-2</v>
      </c>
      <c r="J146" s="54">
        <f t="shared" si="13"/>
        <v>0.88533627342888643</v>
      </c>
      <c r="K146" s="54">
        <f t="shared" si="14"/>
        <v>1.1736846191671627E-2</v>
      </c>
      <c r="L146" s="50" t="str" cm="1">
        <f t="array" ref="L146">_xlfn.IFS(I146&gt;5%,"High Risk",I146&lt;2%,"Low Risk",I146&gt;=2%,"Moderate Risk")</f>
        <v>High Risk</v>
      </c>
    </row>
    <row r="147" spans="1:12" ht="18" customHeight="1" x14ac:dyDescent="0.3">
      <c r="A147" s="17" t="s">
        <v>172</v>
      </c>
      <c r="B147" s="9">
        <v>874</v>
      </c>
      <c r="C147" s="9">
        <v>18</v>
      </c>
      <c r="D147" s="9">
        <v>607</v>
      </c>
      <c r="E147" s="9">
        <v>249</v>
      </c>
      <c r="F147" s="9">
        <v>8296582</v>
      </c>
      <c r="G147" s="6" t="s">
        <v>197</v>
      </c>
      <c r="H147" s="10">
        <v>43896</v>
      </c>
      <c r="I147" s="15">
        <f t="shared" si="12"/>
        <v>2.0594965675057208E-2</v>
      </c>
      <c r="J147" s="15">
        <f t="shared" si="13"/>
        <v>0.69450800915331812</v>
      </c>
      <c r="K147" s="15">
        <f t="shared" si="14"/>
        <v>1.0534458648151732E-4</v>
      </c>
      <c r="L147" t="str" cm="1">
        <f t="array" ref="L147">_xlfn.IFS(I147&gt;5%,"High Risk",I147&lt;2%,"Low Risk",I147&gt;=2%,"Moderate Risk")</f>
        <v>Moderate Risk</v>
      </c>
    </row>
    <row r="148" spans="1:12" ht="18" customHeight="1" x14ac:dyDescent="0.3">
      <c r="A148" s="16" t="s">
        <v>148</v>
      </c>
      <c r="B148" s="7">
        <v>865</v>
      </c>
      <c r="C148" s="7">
        <v>14</v>
      </c>
      <c r="D148" s="7">
        <v>734</v>
      </c>
      <c r="E148" s="7">
        <v>117</v>
      </c>
      <c r="F148" s="7">
        <v>219544</v>
      </c>
      <c r="G148" s="5" t="s">
        <v>197</v>
      </c>
      <c r="H148" s="8">
        <v>43927</v>
      </c>
      <c r="I148" s="15">
        <f t="shared" si="12"/>
        <v>1.6184971098265895E-2</v>
      </c>
      <c r="J148" s="15">
        <f t="shared" si="13"/>
        <v>0.84855491329479771</v>
      </c>
      <c r="K148" s="15">
        <f t="shared" si="14"/>
        <v>3.9399846955507781E-3</v>
      </c>
      <c r="L148" t="str" cm="1">
        <f t="array" ref="L148">_xlfn.IFS(I148&gt;5%,"High Risk",I148&lt;2%,"Low Risk",I148&gt;=2%,"Moderate Risk")</f>
        <v>Low Risk</v>
      </c>
    </row>
    <row r="149" spans="1:12" ht="18" customHeight="1" x14ac:dyDescent="0.3">
      <c r="A149" s="16" t="s">
        <v>90</v>
      </c>
      <c r="B149" s="7">
        <v>853</v>
      </c>
      <c r="C149" s="7">
        <v>10</v>
      </c>
      <c r="D149" s="7">
        <v>714</v>
      </c>
      <c r="E149" s="7">
        <v>129</v>
      </c>
      <c r="F149" s="7">
        <v>2962478</v>
      </c>
      <c r="G149" s="5" t="s">
        <v>198</v>
      </c>
      <c r="H149" s="8">
        <v>43900</v>
      </c>
      <c r="I149" s="15">
        <f t="shared" si="12"/>
        <v>1.1723329425556858E-2</v>
      </c>
      <c r="J149" s="15">
        <f t="shared" si="13"/>
        <v>0.83704572098475971</v>
      </c>
      <c r="K149" s="15">
        <f t="shared" si="14"/>
        <v>2.8793462770018881E-4</v>
      </c>
      <c r="L149" t="str" cm="1">
        <f t="array" ref="L149">_xlfn.IFS(I149&gt;5%,"High Risk",I149&lt;2%,"Low Risk",I149&gt;=2%,"Moderate Risk")</f>
        <v>Low Risk</v>
      </c>
    </row>
    <row r="150" spans="1:12" ht="18" customHeight="1" x14ac:dyDescent="0.3">
      <c r="A150" s="16" t="s">
        <v>27</v>
      </c>
      <c r="B150" s="7">
        <v>739</v>
      </c>
      <c r="C150" s="7">
        <v>2</v>
      </c>
      <c r="D150" s="7">
        <v>63</v>
      </c>
      <c r="E150" s="7">
        <v>674</v>
      </c>
      <c r="F150" s="7">
        <v>2356075</v>
      </c>
      <c r="G150" s="5" t="s">
        <v>197</v>
      </c>
      <c r="H150" s="8">
        <v>43920</v>
      </c>
      <c r="I150" s="15">
        <f t="shared" si="12"/>
        <v>2.7063599458728013E-3</v>
      </c>
      <c r="J150" s="15">
        <f t="shared" si="13"/>
        <v>8.5250338294993233E-2</v>
      </c>
      <c r="K150" s="15">
        <f t="shared" si="14"/>
        <v>3.1365724775314879E-4</v>
      </c>
      <c r="L150" t="str" cm="1">
        <f t="array" ref="L150">_xlfn.IFS(I150&gt;5%,"High Risk",I150&lt;2%,"Low Risk",I150&gt;=2%,"Moderate Risk")</f>
        <v>Low Risk</v>
      </c>
    </row>
    <row r="151" spans="1:12" ht="18" customHeight="1" x14ac:dyDescent="0.3">
      <c r="A151" s="16" t="s">
        <v>112</v>
      </c>
      <c r="B151" s="7">
        <v>701</v>
      </c>
      <c r="C151" s="7">
        <v>9</v>
      </c>
      <c r="D151" s="7">
        <v>665</v>
      </c>
      <c r="E151" s="7">
        <v>27</v>
      </c>
      <c r="F151" s="7">
        <v>441663</v>
      </c>
      <c r="G151" s="5" t="s">
        <v>196</v>
      </c>
      <c r="H151" s="8">
        <v>43897</v>
      </c>
      <c r="I151" s="15">
        <f t="shared" si="12"/>
        <v>1.2838801711840228E-2</v>
      </c>
      <c r="J151" s="15">
        <f t="shared" si="13"/>
        <v>0.94864479315263905</v>
      </c>
      <c r="K151" s="15">
        <f t="shared" si="14"/>
        <v>1.5871829879342395E-3</v>
      </c>
      <c r="L151" t="str" cm="1">
        <f t="array" ref="L151">_xlfn.IFS(I151&gt;5%,"High Risk",I151&lt;2%,"Low Risk",I151&gt;=2%,"Moderate Risk")</f>
        <v>Low Risk</v>
      </c>
    </row>
    <row r="152" spans="1:12" ht="18" customHeight="1" x14ac:dyDescent="0.3">
      <c r="A152" s="18" t="s">
        <v>147</v>
      </c>
      <c r="B152" s="51">
        <v>699</v>
      </c>
      <c r="C152" s="51">
        <v>42</v>
      </c>
      <c r="D152" s="51">
        <v>657</v>
      </c>
      <c r="E152" s="51">
        <v>0</v>
      </c>
      <c r="F152" s="51">
        <v>33938</v>
      </c>
      <c r="G152" s="52" t="s">
        <v>196</v>
      </c>
      <c r="H152" s="53">
        <v>43888</v>
      </c>
      <c r="I152" s="54">
        <f t="shared" si="12"/>
        <v>6.0085836909871244E-2</v>
      </c>
      <c r="J152" s="54">
        <f t="shared" si="13"/>
        <v>0.93991416309012876</v>
      </c>
      <c r="K152" s="54">
        <f t="shared" si="14"/>
        <v>2.0596381637102954E-2</v>
      </c>
      <c r="L152" s="50" t="str" cm="1">
        <f t="array" ref="L152">_xlfn.IFS(I152&gt;5%,"High Risk",I152&lt;2%,"Low Risk",I152&gt;=2%,"Moderate Risk")</f>
        <v>High Risk</v>
      </c>
    </row>
    <row r="153" spans="1:12" ht="18" customHeight="1" x14ac:dyDescent="0.3">
      <c r="A153" s="18" t="s">
        <v>167</v>
      </c>
      <c r="B153" s="51">
        <v>674</v>
      </c>
      <c r="C153" s="51">
        <v>40</v>
      </c>
      <c r="D153" s="51">
        <v>0</v>
      </c>
      <c r="E153" s="51">
        <v>634</v>
      </c>
      <c r="F153" s="51">
        <v>17539600</v>
      </c>
      <c r="G153" s="52" t="s">
        <v>195</v>
      </c>
      <c r="H153" s="53">
        <v>43912</v>
      </c>
      <c r="I153" s="54">
        <f t="shared" si="12"/>
        <v>5.9347181008902079E-2</v>
      </c>
      <c r="J153" s="54">
        <f t="shared" si="13"/>
        <v>0</v>
      </c>
      <c r="K153" s="54">
        <f t="shared" si="14"/>
        <v>3.8427330155761816E-5</v>
      </c>
      <c r="L153" s="50" t="str" cm="1">
        <f t="array" ref="L153">_xlfn.IFS(I153&gt;5%,"High Risk",I153&lt;2%,"Low Risk",I153&gt;=2%,"Moderate Risk")</f>
        <v>High Risk</v>
      </c>
    </row>
    <row r="154" spans="1:12" ht="18" customHeight="1" x14ac:dyDescent="0.3">
      <c r="A154" s="16" t="s">
        <v>169</v>
      </c>
      <c r="B154" s="7">
        <v>509</v>
      </c>
      <c r="C154" s="7">
        <v>21</v>
      </c>
      <c r="D154" s="7">
        <v>183</v>
      </c>
      <c r="E154" s="7">
        <v>305</v>
      </c>
      <c r="F154" s="7">
        <v>59886383</v>
      </c>
      <c r="G154" s="5" t="s">
        <v>197</v>
      </c>
      <c r="H154" s="8">
        <v>43906</v>
      </c>
      <c r="I154" s="15">
        <f t="shared" si="12"/>
        <v>4.1257367387033402E-2</v>
      </c>
      <c r="J154" s="15">
        <f t="shared" si="13"/>
        <v>0.35952848722986247</v>
      </c>
      <c r="K154" s="15">
        <f t="shared" si="14"/>
        <v>8.4994279918358071E-6</v>
      </c>
      <c r="L154" t="str" cm="1">
        <f t="array" ref="L154">_xlfn.IFS(I154&gt;5%,"High Risk",I154&lt;2%,"Low Risk",I154&gt;=2%,"Moderate Risk")</f>
        <v>Moderate Risk</v>
      </c>
    </row>
    <row r="155" spans="1:12" ht="18" customHeight="1" x14ac:dyDescent="0.3">
      <c r="A155" s="17" t="s">
        <v>101</v>
      </c>
      <c r="B155" s="9">
        <v>505</v>
      </c>
      <c r="C155" s="9">
        <v>12</v>
      </c>
      <c r="D155" s="9">
        <v>128</v>
      </c>
      <c r="E155" s="9">
        <v>365</v>
      </c>
      <c r="F155" s="9">
        <v>2143943</v>
      </c>
      <c r="G155" s="6" t="s">
        <v>197</v>
      </c>
      <c r="H155" s="10">
        <v>43964</v>
      </c>
      <c r="I155" s="15">
        <f t="shared" si="12"/>
        <v>2.3762376237623763E-2</v>
      </c>
      <c r="J155" s="15">
        <f t="shared" si="13"/>
        <v>0.25346534653465347</v>
      </c>
      <c r="K155" s="15">
        <f t="shared" si="14"/>
        <v>2.3554730699463559E-4</v>
      </c>
      <c r="L155" t="str" cm="1">
        <f t="array" ref="L155">_xlfn.IFS(I155&gt;5%,"High Risk",I155&lt;2%,"Low Risk",I155&gt;=2%,"Moderate Risk")</f>
        <v>Moderate Risk</v>
      </c>
    </row>
    <row r="156" spans="1:12" ht="18" customHeight="1" x14ac:dyDescent="0.3">
      <c r="A156" s="16" t="s">
        <v>190</v>
      </c>
      <c r="B156" s="7">
        <v>462</v>
      </c>
      <c r="C156" s="7">
        <v>7</v>
      </c>
      <c r="D156" s="7">
        <v>440</v>
      </c>
      <c r="E156" s="7">
        <v>15</v>
      </c>
      <c r="F156" s="7">
        <v>23821199</v>
      </c>
      <c r="G156" s="5" t="s">
        <v>195</v>
      </c>
      <c r="H156" s="8">
        <v>43851</v>
      </c>
      <c r="I156" s="15">
        <f t="shared" si="12"/>
        <v>1.5151515151515152E-2</v>
      </c>
      <c r="J156" s="15">
        <f t="shared" si="13"/>
        <v>0.95238095238095233</v>
      </c>
      <c r="K156" s="15">
        <f t="shared" si="14"/>
        <v>1.9394489756791838E-5</v>
      </c>
      <c r="L156" t="str" cm="1">
        <f t="array" ref="L156">_xlfn.IFS(I156&gt;5%,"High Risk",I156&lt;2%,"Low Risk",I156&gt;=2%,"Moderate Risk")</f>
        <v>Low Risk</v>
      </c>
    </row>
    <row r="157" spans="1:12" ht="18" customHeight="1" x14ac:dyDescent="0.3">
      <c r="A157" s="17" t="s">
        <v>184</v>
      </c>
      <c r="B157" s="9">
        <v>431</v>
      </c>
      <c r="C157" s="9">
        <v>0</v>
      </c>
      <c r="D157" s="9">
        <v>365</v>
      </c>
      <c r="E157" s="9">
        <v>66</v>
      </c>
      <c r="F157" s="9">
        <v>97425470</v>
      </c>
      <c r="G157" s="6" t="s">
        <v>195</v>
      </c>
      <c r="H157" s="10">
        <v>43853</v>
      </c>
      <c r="I157" s="15">
        <f t="shared" si="12"/>
        <v>0</v>
      </c>
      <c r="J157" s="15">
        <f t="shared" si="13"/>
        <v>0.84686774941995357</v>
      </c>
      <c r="K157" s="15">
        <f t="shared" si="14"/>
        <v>4.4238944908348918E-6</v>
      </c>
      <c r="L157" t="str" cm="1">
        <f t="array" ref="L157">_xlfn.IFS(I157&gt;5%,"High Risk",I157&lt;2%,"Low Risk",I157&gt;=2%,"Moderate Risk")</f>
        <v>Low Risk</v>
      </c>
    </row>
    <row r="158" spans="1:12" ht="18" customHeight="1" x14ac:dyDescent="0.3">
      <c r="A158" s="18" t="s">
        <v>77</v>
      </c>
      <c r="B158" s="51">
        <v>389</v>
      </c>
      <c r="C158" s="51">
        <v>20</v>
      </c>
      <c r="D158" s="51">
        <v>181</v>
      </c>
      <c r="E158" s="51">
        <v>188</v>
      </c>
      <c r="F158" s="51">
        <v>786936</v>
      </c>
      <c r="G158" s="52" t="s">
        <v>199</v>
      </c>
      <c r="H158" s="53">
        <v>43902</v>
      </c>
      <c r="I158" s="54">
        <f t="shared" si="12"/>
        <v>5.1413881748071981E-2</v>
      </c>
      <c r="J158" s="54">
        <f t="shared" si="13"/>
        <v>0.4652956298200514</v>
      </c>
      <c r="K158" s="54">
        <f t="shared" si="14"/>
        <v>4.943222828794209E-4</v>
      </c>
      <c r="L158" s="50" t="str" cm="1">
        <f t="array" ref="L158">_xlfn.IFS(I158&gt;5%,"High Risk",I158&lt;2%,"Low Risk",I158&gt;=2%,"Moderate Risk")</f>
        <v>High Risk</v>
      </c>
    </row>
    <row r="159" spans="1:12" ht="18" customHeight="1" x14ac:dyDescent="0.3">
      <c r="A159" s="17" t="s">
        <v>16</v>
      </c>
      <c r="B159" s="9">
        <v>382</v>
      </c>
      <c r="C159" s="9">
        <v>11</v>
      </c>
      <c r="D159" s="9">
        <v>91</v>
      </c>
      <c r="E159" s="9">
        <v>280</v>
      </c>
      <c r="F159" s="9">
        <v>393616</v>
      </c>
      <c r="G159" s="6" t="s">
        <v>198</v>
      </c>
      <c r="H159" s="10">
        <v>43905</v>
      </c>
      <c r="I159" s="15">
        <f t="shared" si="12"/>
        <v>2.8795811518324606E-2</v>
      </c>
      <c r="J159" s="15">
        <f t="shared" si="13"/>
        <v>0.23821989528795812</v>
      </c>
      <c r="K159" s="15">
        <f t="shared" si="14"/>
        <v>9.7048900451201169E-4</v>
      </c>
      <c r="L159" t="str" cm="1">
        <f t="array" ref="L159">_xlfn.IFS(I159&gt;5%,"High Risk",I159&lt;2%,"Low Risk",I159&gt;=2%,"Moderate Risk")</f>
        <v>Moderate Risk</v>
      </c>
    </row>
    <row r="160" spans="1:12" ht="18" customHeight="1" x14ac:dyDescent="0.3">
      <c r="A160" s="16" t="s">
        <v>32</v>
      </c>
      <c r="B160" s="7">
        <v>378</v>
      </c>
      <c r="C160" s="7">
        <v>1</v>
      </c>
      <c r="D160" s="7">
        <v>301</v>
      </c>
      <c r="E160" s="7">
        <v>76</v>
      </c>
      <c r="F160" s="7">
        <v>11922216</v>
      </c>
      <c r="G160" s="5" t="s">
        <v>197</v>
      </c>
      <c r="H160" s="8">
        <v>43921</v>
      </c>
      <c r="I160" s="15">
        <f t="shared" si="12"/>
        <v>2.6455026455026454E-3</v>
      </c>
      <c r="J160" s="15">
        <f t="shared" si="13"/>
        <v>0.79629629629629628</v>
      </c>
      <c r="K160" s="15">
        <f t="shared" si="14"/>
        <v>3.1705515149197092E-5</v>
      </c>
      <c r="L160" t="str" cm="1">
        <f t="array" ref="L160">_xlfn.IFS(I160&gt;5%,"High Risk",I160&lt;2%,"Low Risk",I160&gt;=2%,"Moderate Risk")</f>
        <v>Low Risk</v>
      </c>
    </row>
    <row r="161" spans="1:12" ht="18" customHeight="1" x14ac:dyDescent="0.3">
      <c r="A161" s="16" t="s">
        <v>42</v>
      </c>
      <c r="B161" s="7">
        <v>354</v>
      </c>
      <c r="C161" s="7">
        <v>7</v>
      </c>
      <c r="D161" s="7">
        <v>328</v>
      </c>
      <c r="E161" s="7">
        <v>19</v>
      </c>
      <c r="F161" s="7">
        <v>871326</v>
      </c>
      <c r="G161" s="5" t="s">
        <v>197</v>
      </c>
      <c r="H161" s="8">
        <v>43951</v>
      </c>
      <c r="I161" s="15">
        <f t="shared" si="12"/>
        <v>1.977401129943503E-2</v>
      </c>
      <c r="J161" s="15">
        <f t="shared" si="13"/>
        <v>0.92655367231638419</v>
      </c>
      <c r="K161" s="15">
        <f t="shared" si="14"/>
        <v>4.0627732903643414E-4</v>
      </c>
      <c r="L161" t="str" cm="1">
        <f t="array" ref="L161">_xlfn.IFS(I161&gt;5%,"High Risk",I161&lt;2%,"Low Risk",I161&gt;=2%,"Moderate Risk")</f>
        <v>Low Risk</v>
      </c>
    </row>
    <row r="162" spans="1:12" ht="18" customHeight="1" x14ac:dyDescent="0.3">
      <c r="A162" s="17" t="s">
        <v>191</v>
      </c>
      <c r="B162" s="9">
        <v>350</v>
      </c>
      <c r="C162" s="9">
        <v>6</v>
      </c>
      <c r="D162" s="9">
        <v>292</v>
      </c>
      <c r="E162" s="9">
        <v>52</v>
      </c>
      <c r="F162" s="9">
        <v>54446389</v>
      </c>
      <c r="G162" s="6" t="s">
        <v>195</v>
      </c>
      <c r="H162" s="10">
        <v>43913</v>
      </c>
      <c r="I162" s="15">
        <f t="shared" ref="I162:I188" si="15">C162/B162</f>
        <v>1.7142857142857144E-2</v>
      </c>
      <c r="J162" s="15">
        <f t="shared" ref="J162:J188" si="16">D162/B162</f>
        <v>0.8342857142857143</v>
      </c>
      <c r="K162" s="15">
        <f t="shared" si="14"/>
        <v>6.4283418318155129E-6</v>
      </c>
      <c r="L162" t="str" cm="1">
        <f t="array" ref="L162">_xlfn.IFS(I162&gt;5%,"High Risk",I162&lt;2%,"Low Risk",I162&gt;=2%,"Moderate Risk")</f>
        <v>Low Risk</v>
      </c>
    </row>
    <row r="163" spans="1:12" ht="18" customHeight="1" x14ac:dyDescent="0.3">
      <c r="A163" s="16" t="s">
        <v>114</v>
      </c>
      <c r="B163" s="7">
        <v>344</v>
      </c>
      <c r="C163" s="7">
        <v>10</v>
      </c>
      <c r="D163" s="7">
        <v>332</v>
      </c>
      <c r="E163" s="7">
        <v>2</v>
      </c>
      <c r="F163" s="7">
        <v>1271985</v>
      </c>
      <c r="G163" s="5" t="s">
        <v>197</v>
      </c>
      <c r="H163" s="8">
        <v>43908</v>
      </c>
      <c r="I163" s="15">
        <f t="shared" si="15"/>
        <v>2.9069767441860465E-2</v>
      </c>
      <c r="J163" s="15">
        <f t="shared" si="16"/>
        <v>0.96511627906976749</v>
      </c>
      <c r="K163" s="15">
        <f t="shared" si="14"/>
        <v>2.7044344076384549E-4</v>
      </c>
      <c r="L163" t="str" cm="1">
        <f t="array" ref="L163">_xlfn.IFS(I163&gt;5%,"High Risk",I163&lt;2%,"Low Risk",I163&gt;=2%,"Moderate Risk")</f>
        <v>Moderate Risk</v>
      </c>
    </row>
    <row r="164" spans="1:12" ht="18" customHeight="1" x14ac:dyDescent="0.3">
      <c r="A164" s="17" t="s">
        <v>67</v>
      </c>
      <c r="B164" s="9">
        <v>326</v>
      </c>
      <c r="C164" s="9">
        <v>8</v>
      </c>
      <c r="D164" s="9">
        <v>66</v>
      </c>
      <c r="E164" s="9">
        <v>252</v>
      </c>
      <c r="F164" s="9">
        <v>2422754</v>
      </c>
      <c r="G164" s="6" t="s">
        <v>197</v>
      </c>
      <c r="H164" s="10">
        <v>43907</v>
      </c>
      <c r="I164" s="15">
        <f t="shared" si="15"/>
        <v>2.4539877300613498E-2</v>
      </c>
      <c r="J164" s="15">
        <f t="shared" si="16"/>
        <v>0.20245398773006135</v>
      </c>
      <c r="K164" s="15">
        <f t="shared" si="14"/>
        <v>1.345576150116768E-4</v>
      </c>
      <c r="L164" t="str" cm="1">
        <f t="array" ref="L164">_xlfn.IFS(I164&gt;5%,"High Risk",I164&lt;2%,"Low Risk",I164&gt;=2%,"Moderate Risk")</f>
        <v>Moderate Risk</v>
      </c>
    </row>
    <row r="165" spans="1:12" ht="18" customHeight="1" x14ac:dyDescent="0.3">
      <c r="A165" s="16" t="s">
        <v>118</v>
      </c>
      <c r="B165" s="7">
        <v>289</v>
      </c>
      <c r="C165" s="7">
        <v>0</v>
      </c>
      <c r="D165" s="7">
        <v>222</v>
      </c>
      <c r="E165" s="7">
        <v>67</v>
      </c>
      <c r="F165" s="7">
        <v>3283344</v>
      </c>
      <c r="G165" s="5" t="s">
        <v>195</v>
      </c>
      <c r="H165" s="8">
        <v>43900</v>
      </c>
      <c r="I165" s="15">
        <f t="shared" si="15"/>
        <v>0</v>
      </c>
      <c r="J165" s="15">
        <f t="shared" si="16"/>
        <v>0.76816608996539792</v>
      </c>
      <c r="K165" s="15">
        <f t="shared" si="14"/>
        <v>8.8020018615167948E-5</v>
      </c>
      <c r="L165" t="str" cm="1">
        <f t="array" ref="L165">_xlfn.IFS(I165&gt;5%,"High Risk",I165&lt;2%,"Low Risk",I165&gt;=2%,"Moderate Risk")</f>
        <v>Low Risk</v>
      </c>
    </row>
    <row r="166" spans="1:12" ht="18" customHeight="1" x14ac:dyDescent="0.3">
      <c r="A166" s="17" t="s">
        <v>59</v>
      </c>
      <c r="B166" s="9">
        <v>265</v>
      </c>
      <c r="C166" s="9">
        <v>0</v>
      </c>
      <c r="D166" s="9">
        <v>191</v>
      </c>
      <c r="E166" s="9">
        <v>74</v>
      </c>
      <c r="F166" s="9">
        <v>3551175</v>
      </c>
      <c r="G166" s="6" t="s">
        <v>197</v>
      </c>
      <c r="H166" s="10">
        <v>43911</v>
      </c>
      <c r="I166" s="15">
        <f t="shared" si="15"/>
        <v>0</v>
      </c>
      <c r="J166" s="15">
        <f t="shared" si="16"/>
        <v>0.72075471698113203</v>
      </c>
      <c r="K166" s="15">
        <f t="shared" si="14"/>
        <v>7.4623188099713479E-5</v>
      </c>
      <c r="L166" t="str" cm="1">
        <f t="array" ref="L166">_xlfn.IFS(I166&gt;5%,"High Risk",I166&lt;2%,"Low Risk",I166&gt;=2%,"Moderate Risk")</f>
        <v>Low Risk</v>
      </c>
    </row>
    <row r="167" spans="1:12" ht="18" customHeight="1" x14ac:dyDescent="0.3">
      <c r="A167" s="16" t="s">
        <v>34</v>
      </c>
      <c r="B167" s="7">
        <v>226</v>
      </c>
      <c r="C167" s="7">
        <v>0</v>
      </c>
      <c r="D167" s="7">
        <v>147</v>
      </c>
      <c r="E167" s="7">
        <v>79</v>
      </c>
      <c r="F167" s="7">
        <v>16741375</v>
      </c>
      <c r="G167" s="5" t="s">
        <v>195</v>
      </c>
      <c r="H167" s="8">
        <v>43857</v>
      </c>
      <c r="I167" s="15">
        <f t="shared" si="15"/>
        <v>0</v>
      </c>
      <c r="J167" s="15">
        <f t="shared" si="16"/>
        <v>0.65044247787610621</v>
      </c>
      <c r="K167" s="15">
        <f t="shared" si="14"/>
        <v>1.349948854260776E-5</v>
      </c>
      <c r="L167" t="str" cm="1">
        <f t="array" ref="L167">_xlfn.IFS(I167&gt;5%,"High Risk",I167&lt;2%,"Low Risk",I167&gt;=2%,"Moderate Risk")</f>
        <v>Low Risk</v>
      </c>
    </row>
    <row r="168" spans="1:12" ht="18" customHeight="1" x14ac:dyDescent="0.3">
      <c r="A168" s="19" t="s">
        <v>173</v>
      </c>
      <c r="B168" s="55">
        <v>148</v>
      </c>
      <c r="C168" s="55">
        <v>8</v>
      </c>
      <c r="D168" s="55">
        <v>128</v>
      </c>
      <c r="E168" s="55">
        <v>12</v>
      </c>
      <c r="F168" s="55">
        <v>1399950</v>
      </c>
      <c r="G168" s="56" t="s">
        <v>198</v>
      </c>
      <c r="H168" s="57">
        <v>43902</v>
      </c>
      <c r="I168" s="54">
        <f t="shared" si="15"/>
        <v>5.4054054054054057E-2</v>
      </c>
      <c r="J168" s="54">
        <f t="shared" si="16"/>
        <v>0.86486486486486491</v>
      </c>
      <c r="K168" s="54">
        <f t="shared" si="14"/>
        <v>1.0571806135933426E-4</v>
      </c>
      <c r="L168" s="50" t="str" cm="1">
        <f t="array" ref="L168">_xlfn.IFS(I168&gt;5%,"High Risk",I168&lt;2%,"Low Risk",I168&gt;=2%,"Moderate Risk")</f>
        <v>High Risk</v>
      </c>
    </row>
    <row r="169" spans="1:12" ht="18" customHeight="1" x14ac:dyDescent="0.3">
      <c r="A169" s="16" t="s">
        <v>29</v>
      </c>
      <c r="B169" s="7">
        <v>141</v>
      </c>
      <c r="C169" s="7">
        <v>3</v>
      </c>
      <c r="D169" s="7">
        <v>138</v>
      </c>
      <c r="E169" s="7">
        <v>0</v>
      </c>
      <c r="F169" s="7">
        <v>437893</v>
      </c>
      <c r="G169" s="5" t="s">
        <v>195</v>
      </c>
      <c r="H169" s="8">
        <v>43899</v>
      </c>
      <c r="I169" s="15">
        <f t="shared" si="15"/>
        <v>2.1276595744680851E-2</v>
      </c>
      <c r="J169" s="15">
        <f t="shared" si="16"/>
        <v>0.97872340425531912</v>
      </c>
      <c r="K169" s="15">
        <f t="shared" si="14"/>
        <v>3.2199646945715047E-4</v>
      </c>
      <c r="L169" t="str" cm="1">
        <f t="array" ref="L169">_xlfn.IFS(I169&gt;5%,"High Risk",I169&lt;2%,"Low Risk",I169&gt;=2%,"Moderate Risk")</f>
        <v>Moderate Risk</v>
      </c>
    </row>
    <row r="170" spans="1:12" ht="18" customHeight="1" x14ac:dyDescent="0.3">
      <c r="A170" s="17" t="s">
        <v>117</v>
      </c>
      <c r="B170" s="9">
        <v>116</v>
      </c>
      <c r="C170" s="9">
        <v>4</v>
      </c>
      <c r="D170" s="9">
        <v>104</v>
      </c>
      <c r="E170" s="9">
        <v>8</v>
      </c>
      <c r="F170" s="9">
        <v>39270</v>
      </c>
      <c r="G170" s="6" t="s">
        <v>196</v>
      </c>
      <c r="H170" s="10">
        <v>43890</v>
      </c>
      <c r="I170" s="15">
        <f t="shared" si="15"/>
        <v>3.4482758620689655E-2</v>
      </c>
      <c r="J170" s="15">
        <f t="shared" si="16"/>
        <v>0.89655172413793105</v>
      </c>
      <c r="K170" s="15">
        <f t="shared" si="14"/>
        <v>2.9539088362617776E-3</v>
      </c>
      <c r="L170" t="str" cm="1">
        <f t="array" ref="L170">_xlfn.IFS(I170&gt;5%,"High Risk",I170&lt;2%,"Low Risk",I170&gt;=2%,"Moderate Risk")</f>
        <v>Moderate Risk</v>
      </c>
    </row>
    <row r="171" spans="1:12" ht="18" customHeight="1" x14ac:dyDescent="0.3">
      <c r="A171" s="16" t="s">
        <v>152</v>
      </c>
      <c r="B171" s="7">
        <v>114</v>
      </c>
      <c r="C171" s="7">
        <v>0</v>
      </c>
      <c r="D171" s="7">
        <v>39</v>
      </c>
      <c r="E171" s="7">
        <v>75</v>
      </c>
      <c r="F171" s="7">
        <v>98408</v>
      </c>
      <c r="G171" s="5" t="s">
        <v>197</v>
      </c>
      <c r="H171" s="8">
        <v>43904</v>
      </c>
      <c r="I171" s="15">
        <f t="shared" si="15"/>
        <v>0</v>
      </c>
      <c r="J171" s="15">
        <f t="shared" si="16"/>
        <v>0.34210526315789475</v>
      </c>
      <c r="K171" s="15">
        <f t="shared" si="14"/>
        <v>1.158442403056662E-3</v>
      </c>
      <c r="L171" t="str" cm="1">
        <f t="array" ref="L171">_xlfn.IFS(I171&gt;5%,"High Risk",I171&lt;2%,"Low Risk",I171&gt;=2%,"Moderate Risk")</f>
        <v>Low Risk</v>
      </c>
    </row>
    <row r="172" spans="1:12" ht="18" customHeight="1" x14ac:dyDescent="0.3">
      <c r="A172" s="19" t="s">
        <v>19</v>
      </c>
      <c r="B172" s="55">
        <v>110</v>
      </c>
      <c r="C172" s="55">
        <v>7</v>
      </c>
      <c r="D172" s="55">
        <v>94</v>
      </c>
      <c r="E172" s="55">
        <v>9</v>
      </c>
      <c r="F172" s="55">
        <v>287411</v>
      </c>
      <c r="G172" s="56" t="s">
        <v>198</v>
      </c>
      <c r="H172" s="57">
        <v>43907</v>
      </c>
      <c r="I172" s="54">
        <f t="shared" si="15"/>
        <v>6.363636363636363E-2</v>
      </c>
      <c r="J172" s="54">
        <f t="shared" si="16"/>
        <v>0.8545454545454545</v>
      </c>
      <c r="K172" s="54">
        <f t="shared" si="14"/>
        <v>3.8272717467320317E-4</v>
      </c>
      <c r="L172" s="50" t="str" cm="1">
        <f t="array" ref="L172">_xlfn.IFS(I172&gt;5%,"High Risk",I172&lt;2%,"Low Risk",I172&gt;=2%,"Moderate Risk")</f>
        <v>High Risk</v>
      </c>
    </row>
    <row r="173" spans="1:12" ht="18" customHeight="1" x14ac:dyDescent="0.3">
      <c r="A173" s="17" t="s">
        <v>24</v>
      </c>
      <c r="B173" s="9">
        <v>99</v>
      </c>
      <c r="C173" s="9">
        <v>0</v>
      </c>
      <c r="D173" s="9">
        <v>86</v>
      </c>
      <c r="E173" s="9">
        <v>13</v>
      </c>
      <c r="F173" s="9">
        <v>772443</v>
      </c>
      <c r="G173" s="6" t="s">
        <v>195</v>
      </c>
      <c r="H173" s="10">
        <v>43896</v>
      </c>
      <c r="I173" s="15">
        <f t="shared" si="15"/>
        <v>0</v>
      </c>
      <c r="J173" s="15">
        <f t="shared" si="16"/>
        <v>0.86868686868686873</v>
      </c>
      <c r="K173" s="15">
        <f t="shared" si="14"/>
        <v>1.2816479662577045E-4</v>
      </c>
      <c r="L173" t="str" cm="1">
        <f t="array" ref="L173">_xlfn.IFS(I173&gt;5%,"High Risk",I173&lt;2%,"Low Risk",I173&gt;=2%,"Moderate Risk")</f>
        <v>Low Risk</v>
      </c>
    </row>
    <row r="174" spans="1:12" ht="18" customHeight="1" x14ac:dyDescent="0.3">
      <c r="A174" s="17" t="s">
        <v>10</v>
      </c>
      <c r="B174" s="9">
        <v>86</v>
      </c>
      <c r="C174" s="9">
        <v>3</v>
      </c>
      <c r="D174" s="9">
        <v>65</v>
      </c>
      <c r="E174" s="9">
        <v>18</v>
      </c>
      <c r="F174" s="9">
        <v>98010</v>
      </c>
      <c r="G174" s="6" t="s">
        <v>198</v>
      </c>
      <c r="H174" s="10">
        <v>43903</v>
      </c>
      <c r="I174" s="15">
        <f t="shared" si="15"/>
        <v>3.4883720930232558E-2</v>
      </c>
      <c r="J174" s="15">
        <f t="shared" si="16"/>
        <v>0.7558139534883721</v>
      </c>
      <c r="K174" s="15">
        <f t="shared" si="14"/>
        <v>8.7746148352208962E-4</v>
      </c>
      <c r="L174" t="str" cm="1">
        <f t="array" ref="L174">_xlfn.IFS(I174&gt;5%,"High Risk",I174&lt;2%,"Low Risk",I174&gt;=2%,"Moderate Risk")</f>
        <v>Moderate Risk</v>
      </c>
    </row>
    <row r="175" spans="1:12" ht="18" customHeight="1" x14ac:dyDescent="0.3">
      <c r="A175" s="16" t="s">
        <v>104</v>
      </c>
      <c r="B175" s="7">
        <v>86</v>
      </c>
      <c r="C175" s="7">
        <v>1</v>
      </c>
      <c r="D175" s="7">
        <v>81</v>
      </c>
      <c r="E175" s="7">
        <v>4</v>
      </c>
      <c r="F175" s="7">
        <v>38139</v>
      </c>
      <c r="G175" s="5" t="s">
        <v>196</v>
      </c>
      <c r="H175" s="8">
        <v>43893</v>
      </c>
      <c r="I175" s="15">
        <f t="shared" si="15"/>
        <v>1.1627906976744186E-2</v>
      </c>
      <c r="J175" s="15">
        <f t="shared" si="16"/>
        <v>0.94186046511627908</v>
      </c>
      <c r="K175" s="15">
        <f t="shared" si="14"/>
        <v>2.2549096725136999E-3</v>
      </c>
      <c r="L175" t="str" cm="1">
        <f t="array" ref="L175">_xlfn.IFS(I175&gt;5%,"High Risk",I175&lt;2%,"Low Risk",I175&gt;=2%,"Moderate Risk")</f>
        <v>Low Risk</v>
      </c>
    </row>
    <row r="176" spans="1:12" ht="18" customHeight="1" x14ac:dyDescent="0.3">
      <c r="A176" s="16" t="s">
        <v>134</v>
      </c>
      <c r="B176" s="7">
        <v>62</v>
      </c>
      <c r="C176" s="7">
        <v>0</v>
      </c>
      <c r="D176" s="7">
        <v>11</v>
      </c>
      <c r="E176" s="7">
        <v>51</v>
      </c>
      <c r="F176" s="7">
        <v>8963009</v>
      </c>
      <c r="G176" s="5" t="s">
        <v>200</v>
      </c>
      <c r="H176" s="8">
        <v>43910</v>
      </c>
      <c r="I176" s="15">
        <f t="shared" si="15"/>
        <v>0</v>
      </c>
      <c r="J176" s="15">
        <f t="shared" si="16"/>
        <v>0.17741935483870969</v>
      </c>
      <c r="K176" s="15">
        <f t="shared" si="14"/>
        <v>6.9173198420307291E-6</v>
      </c>
      <c r="L176" t="str" cm="1">
        <f t="array" ref="L176">_xlfn.IFS(I176&gt;5%,"High Risk",I176&lt;2%,"Low Risk",I176&gt;=2%,"Moderate Risk")</f>
        <v>Low Risk</v>
      </c>
    </row>
    <row r="177" spans="1:14" ht="18" customHeight="1" x14ac:dyDescent="0.3">
      <c r="A177" s="16" t="s">
        <v>146</v>
      </c>
      <c r="B177" s="7">
        <v>52</v>
      </c>
      <c r="C177" s="7">
        <v>0</v>
      </c>
      <c r="D177" s="7">
        <v>39</v>
      </c>
      <c r="E177" s="7">
        <v>13</v>
      </c>
      <c r="F177" s="11">
        <v>104000</v>
      </c>
      <c r="G177" s="5" t="s">
        <v>198</v>
      </c>
      <c r="H177" s="8">
        <v>43901</v>
      </c>
      <c r="I177" s="15">
        <f t="shared" si="15"/>
        <v>0</v>
      </c>
      <c r="J177" s="15">
        <f t="shared" si="16"/>
        <v>0.75</v>
      </c>
      <c r="K177" s="15">
        <f t="shared" si="14"/>
        <v>5.0000000000000001E-4</v>
      </c>
      <c r="L177" t="str" cm="1">
        <f t="array" ref="L177">_xlfn.IFS(I177&gt;5%,"High Risk",I177&lt;2%,"Low Risk",I177&gt;=2%,"Moderate Risk")</f>
        <v>Low Risk</v>
      </c>
    </row>
    <row r="178" spans="1:14" ht="18" customHeight="1" x14ac:dyDescent="0.3">
      <c r="A178" s="17" t="s">
        <v>22</v>
      </c>
      <c r="B178" s="9">
        <v>48</v>
      </c>
      <c r="C178" s="9">
        <v>2</v>
      </c>
      <c r="D178" s="9">
        <v>26</v>
      </c>
      <c r="E178" s="9">
        <v>20</v>
      </c>
      <c r="F178" s="9">
        <v>398312</v>
      </c>
      <c r="G178" s="6" t="s">
        <v>198</v>
      </c>
      <c r="H178" s="10">
        <v>43913</v>
      </c>
      <c r="I178" s="15">
        <f t="shared" si="15"/>
        <v>4.1666666666666664E-2</v>
      </c>
      <c r="J178" s="15">
        <f t="shared" si="16"/>
        <v>0.54166666666666663</v>
      </c>
      <c r="K178" s="15">
        <f t="shared" si="14"/>
        <v>1.2050854606439174E-4</v>
      </c>
      <c r="L178" t="str" cm="1">
        <f t="array" ref="L178">_xlfn.IFS(I178&gt;5%,"High Risk",I178&lt;2%,"Low Risk",I178&gt;=2%,"Moderate Risk")</f>
        <v>Moderate Risk</v>
      </c>
      <c r="N178" t="s">
        <v>206</v>
      </c>
    </row>
    <row r="179" spans="1:14" ht="18" customHeight="1" x14ac:dyDescent="0.3">
      <c r="A179" s="17" t="s">
        <v>63</v>
      </c>
      <c r="B179" s="9">
        <v>27</v>
      </c>
      <c r="C179" s="9">
        <v>0</v>
      </c>
      <c r="D179" s="9">
        <v>18</v>
      </c>
      <c r="E179" s="9">
        <v>9</v>
      </c>
      <c r="F179" s="9">
        <v>897095</v>
      </c>
      <c r="G179" s="6" t="s">
        <v>200</v>
      </c>
      <c r="H179" s="10">
        <v>43909</v>
      </c>
      <c r="I179" s="15">
        <f t="shared" si="15"/>
        <v>0</v>
      </c>
      <c r="J179" s="15">
        <f t="shared" si="16"/>
        <v>0.66666666666666663</v>
      </c>
      <c r="K179" s="15">
        <f t="shared" si="14"/>
        <v>3.0097146901944609E-5</v>
      </c>
      <c r="L179" t="str" cm="1">
        <f t="array" ref="L179">_xlfn.IFS(I179&gt;5%,"High Risk",I179&lt;2%,"Low Risk",I179&gt;=2%,"Moderate Risk")</f>
        <v>Low Risk</v>
      </c>
    </row>
    <row r="180" spans="1:14" ht="18" customHeight="1" x14ac:dyDescent="0.3">
      <c r="A180" s="17" t="s">
        <v>145</v>
      </c>
      <c r="B180" s="9">
        <v>24</v>
      </c>
      <c r="C180" s="9">
        <v>0</v>
      </c>
      <c r="D180" s="9">
        <v>22</v>
      </c>
      <c r="E180" s="9">
        <v>2</v>
      </c>
      <c r="F180" s="9">
        <v>183712</v>
      </c>
      <c r="G180" s="6" t="s">
        <v>198</v>
      </c>
      <c r="H180" s="10">
        <v>43903</v>
      </c>
      <c r="I180" s="15">
        <f t="shared" si="15"/>
        <v>0</v>
      </c>
      <c r="J180" s="15">
        <f t="shared" si="16"/>
        <v>0.91666666666666663</v>
      </c>
      <c r="K180" s="15">
        <f t="shared" si="14"/>
        <v>1.306392614527086E-4</v>
      </c>
      <c r="L180" t="str" cm="1">
        <f t="array" ref="L180">_xlfn.IFS(I180&gt;5%,"High Risk",I180&lt;2%,"Low Risk",I180&gt;=2%,"Moderate Risk")</f>
        <v>Low Risk</v>
      </c>
    </row>
    <row r="181" spans="1:14" ht="18" customHeight="1" x14ac:dyDescent="0.3">
      <c r="A181" s="16" t="s">
        <v>171</v>
      </c>
      <c r="B181" s="7">
        <v>24</v>
      </c>
      <c r="C181" s="7">
        <v>0</v>
      </c>
      <c r="D181" s="7">
        <v>0</v>
      </c>
      <c r="E181" s="7">
        <v>24</v>
      </c>
      <c r="F181" s="7">
        <v>1320812</v>
      </c>
      <c r="G181" s="5" t="s">
        <v>195</v>
      </c>
      <c r="H181" s="8">
        <v>43911</v>
      </c>
      <c r="I181" s="15">
        <f t="shared" si="15"/>
        <v>0</v>
      </c>
      <c r="J181" s="15">
        <f t="shared" si="16"/>
        <v>0</v>
      </c>
      <c r="K181" s="15">
        <f t="shared" si="14"/>
        <v>1.8170640484792688E-5</v>
      </c>
      <c r="L181" t="str" cm="1">
        <f t="array" ref="L181">_xlfn.IFS(I181&gt;5%,"High Risk",I181&lt;2%,"Low Risk",I181&gt;=2%,"Moderate Risk")</f>
        <v>Low Risk</v>
      </c>
    </row>
    <row r="182" spans="1:14" ht="18" customHeight="1" x14ac:dyDescent="0.3">
      <c r="A182" s="17" t="s">
        <v>73</v>
      </c>
      <c r="B182" s="9">
        <v>23</v>
      </c>
      <c r="C182" s="9">
        <v>0</v>
      </c>
      <c r="D182" s="9">
        <v>23</v>
      </c>
      <c r="E182" s="9">
        <v>0</v>
      </c>
      <c r="F182" s="9">
        <v>112576</v>
      </c>
      <c r="G182" s="6" t="s">
        <v>198</v>
      </c>
      <c r="H182" s="10">
        <v>43912</v>
      </c>
      <c r="I182" s="15">
        <f t="shared" si="15"/>
        <v>0</v>
      </c>
      <c r="J182" s="15">
        <f t="shared" si="16"/>
        <v>1</v>
      </c>
      <c r="K182" s="15">
        <f t="shared" si="14"/>
        <v>2.0430642410460489E-4</v>
      </c>
      <c r="L182" t="str" cm="1">
        <f t="array" ref="L182">_xlfn.IFS(I182&gt;5%,"High Risk",I182&lt;2%,"Low Risk",I182&gt;=2%,"Moderate Risk")</f>
        <v>Low Risk</v>
      </c>
    </row>
    <row r="183" spans="1:14" ht="18" customHeight="1" x14ac:dyDescent="0.3">
      <c r="A183" s="16" t="s">
        <v>98</v>
      </c>
      <c r="B183" s="7">
        <v>20</v>
      </c>
      <c r="C183" s="7">
        <v>0</v>
      </c>
      <c r="D183" s="7">
        <v>19</v>
      </c>
      <c r="E183" s="7">
        <v>1</v>
      </c>
      <c r="F183" s="7">
        <v>7285750</v>
      </c>
      <c r="G183" s="5" t="s">
        <v>195</v>
      </c>
      <c r="H183" s="8">
        <v>43914</v>
      </c>
      <c r="I183" s="15">
        <f t="shared" si="15"/>
        <v>0</v>
      </c>
      <c r="J183" s="15">
        <f t="shared" si="16"/>
        <v>0.95</v>
      </c>
      <c r="K183" s="15">
        <f t="shared" si="14"/>
        <v>2.7450845829187114E-6</v>
      </c>
      <c r="L183" t="str" cm="1">
        <f t="array" ref="L183">_xlfn.IFS(I183&gt;5%,"High Risk",I183&lt;2%,"Low Risk",I183&gt;=2%,"Moderate Risk")</f>
        <v>Low Risk</v>
      </c>
    </row>
    <row r="184" spans="1:14" ht="18" customHeight="1" x14ac:dyDescent="0.3">
      <c r="A184" s="17" t="s">
        <v>53</v>
      </c>
      <c r="B184" s="9">
        <v>18</v>
      </c>
      <c r="C184" s="9">
        <v>0</v>
      </c>
      <c r="D184" s="9">
        <v>18</v>
      </c>
      <c r="E184" s="9">
        <v>0</v>
      </c>
      <c r="F184" s="9">
        <v>72004</v>
      </c>
      <c r="G184" s="6" t="s">
        <v>198</v>
      </c>
      <c r="H184" s="10">
        <v>43912</v>
      </c>
      <c r="I184" s="15">
        <f t="shared" si="15"/>
        <v>0</v>
      </c>
      <c r="J184" s="15">
        <f t="shared" si="16"/>
        <v>1</v>
      </c>
      <c r="K184" s="15">
        <f t="shared" si="14"/>
        <v>2.4998611188267316E-4</v>
      </c>
      <c r="L184" t="str" cm="1">
        <f t="array" ref="L184">_xlfn.IFS(I184&gt;5%,"High Risk",I184&lt;2%,"Low Risk",I184&gt;=2%,"Moderate Risk")</f>
        <v>Low Risk</v>
      </c>
    </row>
    <row r="185" spans="1:14" ht="18" customHeight="1" x14ac:dyDescent="0.3">
      <c r="A185" s="16" t="s">
        <v>144</v>
      </c>
      <c r="B185" s="7">
        <v>17</v>
      </c>
      <c r="C185" s="7">
        <v>0</v>
      </c>
      <c r="D185" s="7">
        <v>15</v>
      </c>
      <c r="E185" s="7">
        <v>2</v>
      </c>
      <c r="F185" s="7">
        <v>53237</v>
      </c>
      <c r="G185" s="5" t="s">
        <v>198</v>
      </c>
      <c r="H185" s="8">
        <v>43914</v>
      </c>
      <c r="I185" s="15">
        <f t="shared" si="15"/>
        <v>0</v>
      </c>
      <c r="J185" s="15">
        <f t="shared" si="16"/>
        <v>0.88235294117647056</v>
      </c>
      <c r="K185" s="15">
        <f t="shared" si="14"/>
        <v>3.1932678400360654E-4</v>
      </c>
      <c r="L185" t="str" cm="1">
        <f t="array" ref="L185">_xlfn.IFS(I185&gt;5%,"High Risk",I185&lt;2%,"Low Risk",I185&gt;=2%,"Moderate Risk")</f>
        <v>Low Risk</v>
      </c>
    </row>
    <row r="186" spans="1:14" ht="18" customHeight="1" x14ac:dyDescent="0.3">
      <c r="A186" s="16" t="s">
        <v>72</v>
      </c>
      <c r="B186" s="7">
        <v>14</v>
      </c>
      <c r="C186" s="7">
        <v>0</v>
      </c>
      <c r="D186" s="7">
        <v>13</v>
      </c>
      <c r="E186" s="7">
        <v>1</v>
      </c>
      <c r="F186" s="7">
        <v>56780</v>
      </c>
      <c r="G186" s="5" t="s">
        <v>198</v>
      </c>
      <c r="H186" s="8">
        <v>43898</v>
      </c>
      <c r="I186" s="15">
        <f t="shared" si="15"/>
        <v>0</v>
      </c>
      <c r="J186" s="15">
        <f t="shared" si="16"/>
        <v>0.9285714285714286</v>
      </c>
      <c r="K186" s="15">
        <f t="shared" si="14"/>
        <v>2.4656569214512151E-4</v>
      </c>
      <c r="L186" t="str" cm="1">
        <f t="array" ref="L186">_xlfn.IFS(I186&gt;5%,"High Risk",I186&lt;2%,"Low Risk",I186&gt;=2%,"Moderate Risk")</f>
        <v>Low Risk</v>
      </c>
    </row>
    <row r="187" spans="1:14" ht="18" customHeight="1" x14ac:dyDescent="0.3">
      <c r="A187" s="17" t="s">
        <v>79</v>
      </c>
      <c r="B187" s="9">
        <v>12</v>
      </c>
      <c r="C187" s="9">
        <v>0</v>
      </c>
      <c r="D187" s="9">
        <v>12</v>
      </c>
      <c r="E187" s="9">
        <v>0</v>
      </c>
      <c r="F187" s="12">
        <v>528</v>
      </c>
      <c r="G187" s="6" t="s">
        <v>196</v>
      </c>
      <c r="H187" s="10">
        <v>43912</v>
      </c>
      <c r="I187" s="15">
        <f t="shared" si="15"/>
        <v>0</v>
      </c>
      <c r="J187" s="15">
        <f t="shared" si="16"/>
        <v>1</v>
      </c>
      <c r="K187" s="15">
        <f t="shared" si="14"/>
        <v>2.2727272727272728E-2</v>
      </c>
      <c r="L187" t="str" cm="1">
        <f t="array" ref="L187">_xlfn.IFS(I187&gt;5%,"High Risk",I187&lt;2%,"Low Risk",I187&gt;=2%,"Moderate Risk")</f>
        <v>Low Risk</v>
      </c>
    </row>
    <row r="188" spans="1:14" ht="18" customHeight="1" x14ac:dyDescent="0.3">
      <c r="A188" s="20" t="s">
        <v>186</v>
      </c>
      <c r="B188" s="59">
        <v>10</v>
      </c>
      <c r="C188" s="59">
        <v>1</v>
      </c>
      <c r="D188" s="59">
        <v>8</v>
      </c>
      <c r="E188" s="59">
        <v>1</v>
      </c>
      <c r="F188" s="59">
        <v>598682</v>
      </c>
      <c r="G188" s="37" t="s">
        <v>197</v>
      </c>
      <c r="H188" s="60">
        <v>43925</v>
      </c>
      <c r="I188" s="54">
        <f t="shared" si="15"/>
        <v>0.1</v>
      </c>
      <c r="J188" s="54">
        <f t="shared" si="16"/>
        <v>0.8</v>
      </c>
      <c r="K188" s="54">
        <f t="shared" si="14"/>
        <v>1.6703358377235327E-5</v>
      </c>
      <c r="L188" s="50" t="str" cm="1">
        <f t="array" ref="L188">_xlfn.IFS(I188&gt;5%,"High Risk",I188&lt;2%,"Low Risk",I188&gt;=2%,"Moderate Risk")</f>
        <v>High Risk</v>
      </c>
    </row>
    <row r="189" spans="1:14" x14ac:dyDescent="0.3">
      <c r="A189" s="19"/>
      <c r="B189" s="55"/>
      <c r="C189" s="55"/>
      <c r="D189" s="55"/>
      <c r="E189" s="55"/>
      <c r="F189" s="61"/>
      <c r="G189" s="56"/>
      <c r="H189" s="57"/>
      <c r="I189" s="54"/>
      <c r="J189" s="54"/>
      <c r="K189" s="54"/>
      <c r="L189" s="50"/>
    </row>
  </sheetData>
  <phoneticPr fontId="3" type="noConversion"/>
  <conditionalFormatting sqref="I2:I188">
    <cfRule type="iconSet" priority="2">
      <iconSet iconSet="3Arrows">
        <cfvo type="percent" val="0"/>
        <cfvo type="percent" val="33"/>
        <cfvo type="percent" val="67"/>
      </iconSet>
    </cfRule>
  </conditionalFormatting>
  <conditionalFormatting sqref="J2:J188">
    <cfRule type="colorScale" priority="3">
      <colorScale>
        <cfvo type="min"/>
        <cfvo type="percentile" val="50"/>
        <cfvo type="max"/>
        <color rgb="FF63BE7B"/>
        <color rgb="FFFFEB84"/>
        <color rgb="FFF8696B"/>
      </colorScale>
    </cfRule>
  </conditionalFormatting>
  <conditionalFormatting sqref="K2:K144 K146:K188">
    <cfRule type="dataBar" priority="1">
      <dataBar>
        <cfvo type="min"/>
        <cfvo type="max"/>
        <color rgb="FFFF555A"/>
      </dataBar>
      <extLst>
        <ext xmlns:x14="http://schemas.microsoft.com/office/spreadsheetml/2009/9/main" uri="{B025F937-C7B1-47D3-B67F-A62EFF666E3E}">
          <x14:id>{D6C1F051-03EF-4210-BA14-36001958B29B}</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D6C1F051-03EF-4210-BA14-36001958B29B}">
            <x14:dataBar minLength="0" maxLength="100" border="1" negativeBarBorderColorSameAsPositive="0">
              <x14:cfvo type="autoMin"/>
              <x14:cfvo type="autoMax"/>
              <x14:borderColor rgb="FFFF555A"/>
              <x14:negativeFillColor rgb="FFFF0000"/>
              <x14:negativeBorderColor rgb="FFFF0000"/>
              <x14:axisColor rgb="FF000000"/>
            </x14:dataBar>
          </x14:cfRule>
          <xm:sqref>K2:K144 K146:K188</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81302-56C7-472D-B3DF-8BB4302302B2}">
  <dimension ref="A1:GG25"/>
  <sheetViews>
    <sheetView workbookViewId="0">
      <selection activeCell="F14" sqref="F14"/>
    </sheetView>
  </sheetViews>
  <sheetFormatPr defaultRowHeight="14.4" x14ac:dyDescent="0.3"/>
  <cols>
    <col min="1" max="1" width="15.21875" customWidth="1"/>
    <col min="2" max="2" width="14.77734375" bestFit="1" customWidth="1"/>
    <col min="3" max="3" width="13.77734375" bestFit="1" customWidth="1"/>
  </cols>
  <sheetData>
    <row r="1" spans="1:3" x14ac:dyDescent="0.3">
      <c r="A1" t="s">
        <v>0</v>
      </c>
      <c r="B1" t="s">
        <v>192</v>
      </c>
      <c r="C1" t="s">
        <v>193</v>
      </c>
    </row>
    <row r="2" spans="1:3" x14ac:dyDescent="0.3">
      <c r="A2" t="s">
        <v>83</v>
      </c>
      <c r="B2">
        <f>VLOOKUP(A2,Table1[[Country/Region]:[Population]],6,0)</f>
        <v>1381344997</v>
      </c>
      <c r="C2" t="str">
        <f>HLOOKUP(A2,$B$19:$GG$25,7,FALSE)</f>
        <v>Asia</v>
      </c>
    </row>
    <row r="3" spans="1:3" x14ac:dyDescent="0.3">
      <c r="A3" t="s">
        <v>36</v>
      </c>
      <c r="B3">
        <f>VLOOKUP(A3,Table1[[Country/Region]:[Population]],6,0)</f>
        <v>37775022</v>
      </c>
      <c r="C3" t="str">
        <f t="shared" ref="C3:C16" si="0">HLOOKUP(A3,$B$19:$GG$25,7,FALSE)</f>
        <v>North America</v>
      </c>
    </row>
    <row r="4" spans="1:3" x14ac:dyDescent="0.3">
      <c r="A4" t="s">
        <v>85</v>
      </c>
      <c r="B4">
        <f>VLOOKUP(A4,Table1[[Country/Region]:[Population]],6,0)</f>
        <v>84097623</v>
      </c>
      <c r="C4" t="str">
        <f t="shared" si="0"/>
        <v>Asia</v>
      </c>
    </row>
    <row r="5" spans="1:3" x14ac:dyDescent="0.3">
      <c r="A5" t="s">
        <v>91</v>
      </c>
      <c r="B5">
        <f>VLOOKUP(A5,Table1[[Country/Region]:[Population]],6,0)</f>
        <v>126435859</v>
      </c>
      <c r="C5" t="str">
        <f t="shared" si="0"/>
        <v>Asia</v>
      </c>
    </row>
    <row r="6" spans="1:3" x14ac:dyDescent="0.3">
      <c r="A6" t="s">
        <v>142</v>
      </c>
      <c r="B6">
        <f>VLOOKUP(A6,Table1[[Country/Region]:[Population]],6,0)</f>
        <v>145940924</v>
      </c>
      <c r="C6" t="str">
        <f t="shared" si="0"/>
        <v>Europe</v>
      </c>
    </row>
    <row r="7" spans="1:3" x14ac:dyDescent="0.3">
      <c r="A7" t="s">
        <v>158</v>
      </c>
      <c r="B7">
        <f>VLOOKUP(A7,Table1[[Country/Region]:[Population]],6,0)</f>
        <v>59381566</v>
      </c>
      <c r="C7" t="str">
        <f t="shared" si="0"/>
        <v>Africa</v>
      </c>
    </row>
    <row r="8" spans="1:3" x14ac:dyDescent="0.3">
      <c r="A8" t="s">
        <v>56</v>
      </c>
      <c r="B8">
        <f>VLOOKUP(A8,Table1[[Country/Region]:[Population]],6,0)</f>
        <v>102516525</v>
      </c>
      <c r="C8" t="str">
        <f t="shared" si="0"/>
        <v>Africa</v>
      </c>
    </row>
    <row r="9" spans="1:3" x14ac:dyDescent="0.3">
      <c r="A9" t="s">
        <v>65</v>
      </c>
      <c r="B9">
        <f>VLOOKUP(A9,Table1[[Country/Region]:[Population]],6,0)</f>
        <v>65288306</v>
      </c>
      <c r="C9" t="str">
        <f t="shared" si="0"/>
        <v>Europe</v>
      </c>
    </row>
    <row r="10" spans="1:3" x14ac:dyDescent="0.3">
      <c r="A10" t="s">
        <v>28</v>
      </c>
      <c r="B10">
        <f>VLOOKUP(A10,Table1[[Country/Region]:[Population]],6,0)</f>
        <v>212710692</v>
      </c>
      <c r="C10" t="str">
        <f t="shared" si="0"/>
        <v>South America</v>
      </c>
    </row>
    <row r="11" spans="1:3" x14ac:dyDescent="0.3">
      <c r="A11" t="s">
        <v>69</v>
      </c>
      <c r="B11">
        <f>VLOOKUP(A11,Table1[[Country/Region]:[Population]],6,0)</f>
        <v>83811260</v>
      </c>
      <c r="C11" t="str">
        <f t="shared" si="0"/>
        <v>Europe</v>
      </c>
    </row>
    <row r="12" spans="1:3" x14ac:dyDescent="0.3">
      <c r="A12" t="s">
        <v>89</v>
      </c>
      <c r="B12">
        <f>VLOOKUP(A12,Table1[[Country/Region]:[Population]],6,0)</f>
        <v>60452568</v>
      </c>
      <c r="C12" t="str">
        <f t="shared" si="0"/>
        <v>Europe</v>
      </c>
    </row>
    <row r="13" spans="1:3" x14ac:dyDescent="0.3">
      <c r="A13" t="s">
        <v>162</v>
      </c>
      <c r="B13">
        <f>VLOOKUP(A13,Table1[[Country/Region]:[Population]],6,0)</f>
        <v>21422362</v>
      </c>
      <c r="C13" t="str">
        <f t="shared" si="0"/>
        <v>Asia</v>
      </c>
    </row>
    <row r="14" spans="1:3" x14ac:dyDescent="0.3">
      <c r="A14" t="s">
        <v>170</v>
      </c>
      <c r="B14">
        <f>VLOOKUP(A14,Table1[[Country/Region]:[Population]],6,0)</f>
        <v>69817894</v>
      </c>
      <c r="C14" t="str">
        <f t="shared" si="0"/>
        <v>Asia</v>
      </c>
    </row>
    <row r="15" spans="1:3" x14ac:dyDescent="0.3">
      <c r="A15" t="s">
        <v>132</v>
      </c>
      <c r="B15">
        <f>VLOOKUP(A15,Table1[[Country/Region]:[Population]],6,0)</f>
        <v>221295851</v>
      </c>
      <c r="C15" t="str">
        <f t="shared" si="0"/>
        <v>Asia</v>
      </c>
    </row>
    <row r="16" spans="1:3" x14ac:dyDescent="0.3">
      <c r="A16" t="s">
        <v>191</v>
      </c>
      <c r="B16">
        <f>VLOOKUP(A16,Table1[[Country/Region]:[Population]],6,0)</f>
        <v>54446389</v>
      </c>
      <c r="C16" t="str">
        <f t="shared" si="0"/>
        <v>Asia</v>
      </c>
    </row>
    <row r="19" spans="2:189" x14ac:dyDescent="0.3">
      <c r="B19" s="28" t="s">
        <v>0</v>
      </c>
      <c r="C19" s="23" t="s">
        <v>176</v>
      </c>
      <c r="D19" s="25" t="s">
        <v>28</v>
      </c>
      <c r="E19" s="23" t="s">
        <v>83</v>
      </c>
      <c r="F19" s="23" t="s">
        <v>142</v>
      </c>
      <c r="G19" s="23" t="s">
        <v>158</v>
      </c>
      <c r="H19" s="27" t="s">
        <v>115</v>
      </c>
      <c r="I19" s="23" t="s">
        <v>136</v>
      </c>
      <c r="J19" s="25" t="s">
        <v>39</v>
      </c>
      <c r="K19" s="27" t="s">
        <v>180</v>
      </c>
      <c r="L19" s="27" t="s">
        <v>85</v>
      </c>
      <c r="M19" s="23" t="s">
        <v>132</v>
      </c>
      <c r="N19" s="27" t="s">
        <v>161</v>
      </c>
      <c r="O19" s="23" t="s">
        <v>149</v>
      </c>
      <c r="P19" s="25" t="s">
        <v>41</v>
      </c>
      <c r="Q19" s="27" t="s">
        <v>89</v>
      </c>
      <c r="R19" s="23" t="s">
        <v>175</v>
      </c>
      <c r="S19" s="23" t="s">
        <v>18</v>
      </c>
      <c r="T19" s="27" t="s">
        <v>65</v>
      </c>
      <c r="U19" s="23" t="s">
        <v>69</v>
      </c>
      <c r="V19" s="23" t="s">
        <v>11</v>
      </c>
      <c r="W19" s="32" t="s">
        <v>36</v>
      </c>
      <c r="X19" s="23" t="s">
        <v>86</v>
      </c>
      <c r="Y19" s="23" t="s">
        <v>140</v>
      </c>
      <c r="Z19" s="23" t="s">
        <v>84</v>
      </c>
      <c r="AA19" s="32" t="s">
        <v>56</v>
      </c>
      <c r="AB19" s="32" t="s">
        <v>40</v>
      </c>
      <c r="AC19" s="23" t="s">
        <v>93</v>
      </c>
      <c r="AD19" s="25" t="s">
        <v>137</v>
      </c>
      <c r="AE19" s="27" t="s">
        <v>55</v>
      </c>
      <c r="AF19" s="27" t="s">
        <v>165</v>
      </c>
      <c r="AG19" s="23" t="s">
        <v>131</v>
      </c>
      <c r="AH19" s="23" t="s">
        <v>25</v>
      </c>
      <c r="AI19" s="23" t="s">
        <v>20</v>
      </c>
      <c r="AJ19" s="25" t="s">
        <v>178</v>
      </c>
      <c r="AK19" s="32" t="s">
        <v>21</v>
      </c>
      <c r="AL19" s="23" t="s">
        <v>96</v>
      </c>
      <c r="AM19" s="23" t="s">
        <v>54</v>
      </c>
      <c r="AN19" s="23" t="s">
        <v>88</v>
      </c>
      <c r="AO19" s="23" t="s">
        <v>133</v>
      </c>
      <c r="AP19" s="23" t="s">
        <v>179</v>
      </c>
      <c r="AQ19" s="32" t="s">
        <v>124</v>
      </c>
      <c r="AR19" s="23" t="s">
        <v>154</v>
      </c>
      <c r="AS19" s="23" t="s">
        <v>139</v>
      </c>
      <c r="AT19" s="25" t="s">
        <v>141</v>
      </c>
      <c r="AU19" s="23" t="s">
        <v>74</v>
      </c>
      <c r="AV19" s="23" t="s">
        <v>138</v>
      </c>
      <c r="AW19" s="23" t="s">
        <v>128</v>
      </c>
      <c r="AX19" s="23" t="s">
        <v>80</v>
      </c>
      <c r="AY19" s="23" t="s">
        <v>17</v>
      </c>
      <c r="AZ19" s="25" t="s">
        <v>12</v>
      </c>
      <c r="BA19" s="23" t="s">
        <v>5</v>
      </c>
      <c r="BB19" s="32" t="s">
        <v>166</v>
      </c>
      <c r="BC19" s="23" t="s">
        <v>70</v>
      </c>
      <c r="BD19" s="25" t="s">
        <v>97</v>
      </c>
      <c r="BE19" s="23" t="s">
        <v>91</v>
      </c>
      <c r="BF19" s="23" t="s">
        <v>15</v>
      </c>
      <c r="BG19" s="23" t="s">
        <v>7</v>
      </c>
      <c r="BH19" s="27" t="s">
        <v>87</v>
      </c>
      <c r="BI19" s="23" t="s">
        <v>151</v>
      </c>
      <c r="BJ19" s="23" t="s">
        <v>116</v>
      </c>
      <c r="BK19" s="23" t="s">
        <v>182</v>
      </c>
      <c r="BL19" s="23" t="s">
        <v>120</v>
      </c>
      <c r="BM19" s="23" t="s">
        <v>14</v>
      </c>
      <c r="BN19" s="25" t="s">
        <v>123</v>
      </c>
      <c r="BO19" s="23" t="s">
        <v>94</v>
      </c>
      <c r="BP19" s="25" t="s">
        <v>35</v>
      </c>
      <c r="BQ19" s="23" t="s">
        <v>183</v>
      </c>
      <c r="BR19" s="25" t="s">
        <v>45</v>
      </c>
      <c r="BS19" s="23" t="s">
        <v>46</v>
      </c>
      <c r="BT19" s="23" t="s">
        <v>50</v>
      </c>
      <c r="BU19" s="23" t="s">
        <v>13</v>
      </c>
      <c r="BV19" s="25" t="s">
        <v>57</v>
      </c>
      <c r="BW19" s="23" t="s">
        <v>62</v>
      </c>
      <c r="BX19" s="25" t="s">
        <v>159</v>
      </c>
      <c r="BY19" s="23" t="s">
        <v>51</v>
      </c>
      <c r="BZ19" s="27" t="s">
        <v>163</v>
      </c>
      <c r="CA19" s="23" t="s">
        <v>30</v>
      </c>
      <c r="CB19" s="23" t="s">
        <v>185</v>
      </c>
      <c r="CC19" s="23" t="s">
        <v>26</v>
      </c>
      <c r="CD19" s="25" t="s">
        <v>129</v>
      </c>
      <c r="CE19" s="23" t="s">
        <v>150</v>
      </c>
      <c r="CF19" s="25" t="s">
        <v>107</v>
      </c>
      <c r="CG19" s="23" t="s">
        <v>130</v>
      </c>
      <c r="CH19" s="25" t="s">
        <v>109</v>
      </c>
      <c r="CI19" s="23" t="s">
        <v>44</v>
      </c>
      <c r="CJ19" s="25" t="s">
        <v>95</v>
      </c>
      <c r="CK19" s="23" t="s">
        <v>64</v>
      </c>
      <c r="CL19" s="23" t="s">
        <v>78</v>
      </c>
      <c r="CM19" s="23" t="s">
        <v>168</v>
      </c>
      <c r="CN19" s="23" t="s">
        <v>66</v>
      </c>
      <c r="CO19" s="23" t="s">
        <v>75</v>
      </c>
      <c r="CP19" s="23" t="s">
        <v>106</v>
      </c>
      <c r="CQ19" s="23" t="s">
        <v>113</v>
      </c>
      <c r="CR19" s="23" t="s">
        <v>52</v>
      </c>
      <c r="CS19" s="23" t="s">
        <v>47</v>
      </c>
      <c r="CT19" s="25" t="s">
        <v>6</v>
      </c>
      <c r="CU19" s="23" t="s">
        <v>37</v>
      </c>
      <c r="CV19" s="25" t="s">
        <v>188</v>
      </c>
      <c r="CW19" s="23" t="s">
        <v>135</v>
      </c>
      <c r="CX19" s="27" t="s">
        <v>81</v>
      </c>
      <c r="CY19" s="23" t="s">
        <v>71</v>
      </c>
      <c r="CZ19" s="23" t="s">
        <v>100</v>
      </c>
      <c r="DA19" s="23" t="s">
        <v>108</v>
      </c>
      <c r="DB19" s="23" t="s">
        <v>126</v>
      </c>
      <c r="DC19" s="23" t="s">
        <v>110</v>
      </c>
      <c r="DD19" s="25" t="s">
        <v>170</v>
      </c>
      <c r="DE19" s="23" t="s">
        <v>43</v>
      </c>
      <c r="DF19" s="25" t="s">
        <v>157</v>
      </c>
      <c r="DG19" s="23" t="s">
        <v>58</v>
      </c>
      <c r="DH19" s="25" t="s">
        <v>119</v>
      </c>
      <c r="DI19" s="23" t="s">
        <v>103</v>
      </c>
      <c r="DJ19" s="23" t="s">
        <v>162</v>
      </c>
      <c r="DK19" s="23" t="s">
        <v>189</v>
      </c>
      <c r="DL19" s="23" t="s">
        <v>48</v>
      </c>
      <c r="DM19" s="23" t="s">
        <v>111</v>
      </c>
      <c r="DN19" s="25" t="s">
        <v>33</v>
      </c>
      <c r="DO19" s="23" t="s">
        <v>61</v>
      </c>
      <c r="DP19" s="23" t="s">
        <v>160</v>
      </c>
      <c r="DQ19" s="23" t="s">
        <v>155</v>
      </c>
      <c r="DR19" s="32" t="s">
        <v>156</v>
      </c>
      <c r="DS19" s="23" t="s">
        <v>60</v>
      </c>
      <c r="DT19" s="25" t="s">
        <v>105</v>
      </c>
      <c r="DU19" s="23" t="s">
        <v>76</v>
      </c>
      <c r="DV19" s="25" t="s">
        <v>143</v>
      </c>
      <c r="DW19" s="23" t="s">
        <v>82</v>
      </c>
      <c r="DX19" s="23" t="s">
        <v>122</v>
      </c>
      <c r="DY19" s="23" t="s">
        <v>153</v>
      </c>
      <c r="DZ19" s="23" t="s">
        <v>23</v>
      </c>
      <c r="EA19" s="23" t="s">
        <v>121</v>
      </c>
      <c r="EB19" s="32" t="s">
        <v>187</v>
      </c>
      <c r="EC19" s="23" t="s">
        <v>125</v>
      </c>
      <c r="ED19" s="23" t="s">
        <v>164</v>
      </c>
      <c r="EE19" s="23" t="s">
        <v>174</v>
      </c>
      <c r="EF19" s="25" t="s">
        <v>99</v>
      </c>
      <c r="EG19" s="23" t="s">
        <v>181</v>
      </c>
      <c r="EH19" s="23" t="s">
        <v>92</v>
      </c>
      <c r="EI19" s="32" t="s">
        <v>102</v>
      </c>
      <c r="EJ19" s="23" t="s">
        <v>68</v>
      </c>
      <c r="EK19" s="27" t="s">
        <v>127</v>
      </c>
      <c r="EL19" s="23" t="s">
        <v>177</v>
      </c>
      <c r="EM19" s="23" t="s">
        <v>31</v>
      </c>
      <c r="EN19" s="25" t="s">
        <v>49</v>
      </c>
      <c r="EO19" s="23" t="s">
        <v>9</v>
      </c>
      <c r="EP19" s="32" t="s">
        <v>38</v>
      </c>
      <c r="EQ19" s="27" t="s">
        <v>8</v>
      </c>
      <c r="ER19" s="25" t="s">
        <v>172</v>
      </c>
      <c r="ES19" s="23" t="s">
        <v>148</v>
      </c>
      <c r="ET19" s="23" t="s">
        <v>90</v>
      </c>
      <c r="EU19" s="23" t="s">
        <v>27</v>
      </c>
      <c r="EV19" s="23" t="s">
        <v>112</v>
      </c>
      <c r="EW19" s="27" t="s">
        <v>147</v>
      </c>
      <c r="EX19" s="27" t="s">
        <v>167</v>
      </c>
      <c r="EY19" s="23" t="s">
        <v>169</v>
      </c>
      <c r="EZ19" s="25" t="s">
        <v>101</v>
      </c>
      <c r="FA19" s="23" t="s">
        <v>190</v>
      </c>
      <c r="FB19" s="25" t="s">
        <v>184</v>
      </c>
      <c r="FC19" s="27" t="s">
        <v>77</v>
      </c>
      <c r="FD19" s="25" t="s">
        <v>16</v>
      </c>
      <c r="FE19" s="23" t="s">
        <v>32</v>
      </c>
      <c r="FF19" s="23" t="s">
        <v>42</v>
      </c>
      <c r="FG19" s="23" t="s">
        <v>191</v>
      </c>
      <c r="FH19" s="23" t="s">
        <v>114</v>
      </c>
      <c r="FI19" s="23" t="s">
        <v>67</v>
      </c>
      <c r="FJ19" s="23" t="s">
        <v>118</v>
      </c>
      <c r="FK19" s="23" t="s">
        <v>59</v>
      </c>
      <c r="FL19" s="23" t="s">
        <v>34</v>
      </c>
      <c r="FM19" s="32" t="s">
        <v>173</v>
      </c>
      <c r="FN19" s="23" t="s">
        <v>29</v>
      </c>
      <c r="FO19" s="23" t="s">
        <v>117</v>
      </c>
      <c r="FP19" s="23" t="s">
        <v>152</v>
      </c>
      <c r="FQ19" s="32" t="s">
        <v>19</v>
      </c>
      <c r="FR19" s="25" t="s">
        <v>24</v>
      </c>
      <c r="FS19" s="23" t="s">
        <v>10</v>
      </c>
      <c r="FT19" s="23" t="s">
        <v>104</v>
      </c>
      <c r="FU19" s="23" t="s">
        <v>134</v>
      </c>
      <c r="FV19" s="23" t="s">
        <v>146</v>
      </c>
      <c r="FW19" s="23" t="s">
        <v>22</v>
      </c>
      <c r="FX19" s="25" t="s">
        <v>63</v>
      </c>
      <c r="FY19" s="23" t="s">
        <v>145</v>
      </c>
      <c r="FZ19" s="23" t="s">
        <v>171</v>
      </c>
      <c r="GA19" s="23" t="s">
        <v>73</v>
      </c>
      <c r="GB19" s="23" t="s">
        <v>98</v>
      </c>
      <c r="GC19" s="23" t="s">
        <v>53</v>
      </c>
      <c r="GD19" s="23" t="s">
        <v>144</v>
      </c>
      <c r="GE19" s="23" t="s">
        <v>72</v>
      </c>
      <c r="GF19" s="25" t="s">
        <v>79</v>
      </c>
      <c r="GG19" s="37" t="s">
        <v>186</v>
      </c>
    </row>
    <row r="20" spans="2:189" x14ac:dyDescent="0.3">
      <c r="B20" s="29" t="s">
        <v>1</v>
      </c>
      <c r="C20" s="24">
        <v>4290259</v>
      </c>
      <c r="D20" s="26">
        <v>2442375</v>
      </c>
      <c r="E20" s="24">
        <v>1480073</v>
      </c>
      <c r="F20" s="24">
        <v>816680</v>
      </c>
      <c r="G20" s="24">
        <v>452529</v>
      </c>
      <c r="H20" s="26">
        <v>395489</v>
      </c>
      <c r="I20" s="24">
        <v>389717</v>
      </c>
      <c r="J20" s="26">
        <v>347923</v>
      </c>
      <c r="K20" s="24">
        <v>301708</v>
      </c>
      <c r="L20" s="26">
        <v>293606</v>
      </c>
      <c r="M20" s="24">
        <v>274289</v>
      </c>
      <c r="N20" s="26">
        <v>272421</v>
      </c>
      <c r="O20" s="24">
        <v>268934</v>
      </c>
      <c r="P20" s="26">
        <v>257101</v>
      </c>
      <c r="Q20" s="24">
        <v>246286</v>
      </c>
      <c r="R20" s="24">
        <v>227019</v>
      </c>
      <c r="S20" s="24">
        <v>226225</v>
      </c>
      <c r="T20" s="26">
        <v>220352</v>
      </c>
      <c r="U20" s="24">
        <v>207112</v>
      </c>
      <c r="V20" s="24">
        <v>167416</v>
      </c>
      <c r="W20" s="24">
        <v>116458</v>
      </c>
      <c r="X20" s="24">
        <v>112585</v>
      </c>
      <c r="Y20" s="24">
        <v>109597</v>
      </c>
      <c r="Z20" s="24">
        <v>100303</v>
      </c>
      <c r="AA20" s="24">
        <v>92482</v>
      </c>
      <c r="AB20" s="24">
        <v>86783</v>
      </c>
      <c r="AC20" s="24">
        <v>84648</v>
      </c>
      <c r="AD20" s="26">
        <v>82040</v>
      </c>
      <c r="AE20" s="24">
        <v>81161</v>
      </c>
      <c r="AF20" s="26">
        <v>79395</v>
      </c>
      <c r="AG20" s="24">
        <v>77058</v>
      </c>
      <c r="AH20" s="24">
        <v>71181</v>
      </c>
      <c r="AI20" s="24">
        <v>67251</v>
      </c>
      <c r="AJ20" s="26">
        <v>67096</v>
      </c>
      <c r="AK20" s="24">
        <v>66428</v>
      </c>
      <c r="AL20" s="24">
        <v>64379</v>
      </c>
      <c r="AM20" s="24">
        <v>64156</v>
      </c>
      <c r="AN20" s="24">
        <v>63985</v>
      </c>
      <c r="AO20" s="24">
        <v>61442</v>
      </c>
      <c r="AP20" s="24">
        <v>59177</v>
      </c>
      <c r="AQ20" s="24">
        <v>53413</v>
      </c>
      <c r="AR20" s="24">
        <v>50838</v>
      </c>
      <c r="AS20" s="24">
        <v>50299</v>
      </c>
      <c r="AT20" s="26">
        <v>45902</v>
      </c>
      <c r="AU20" s="24">
        <v>45309</v>
      </c>
      <c r="AV20" s="24">
        <v>43402</v>
      </c>
      <c r="AW20" s="24">
        <v>41180</v>
      </c>
      <c r="AX20" s="24">
        <v>39741</v>
      </c>
      <c r="AY20" s="24">
        <v>39482</v>
      </c>
      <c r="AZ20" s="26">
        <v>37390</v>
      </c>
      <c r="BA20" s="24">
        <v>36263</v>
      </c>
      <c r="BB20" s="24">
        <v>34477</v>
      </c>
      <c r="BC20" s="24">
        <v>33624</v>
      </c>
      <c r="BD20" s="26">
        <v>33296</v>
      </c>
      <c r="BE20" s="24">
        <v>31142</v>
      </c>
      <c r="BF20" s="24">
        <v>30446</v>
      </c>
      <c r="BG20" s="24">
        <v>27973</v>
      </c>
      <c r="BH20" s="26">
        <v>25892</v>
      </c>
      <c r="BI20" s="24">
        <v>24141</v>
      </c>
      <c r="BJ20" s="24">
        <v>23154</v>
      </c>
      <c r="BK20" s="24">
        <v>21209</v>
      </c>
      <c r="BL20" s="24">
        <v>20887</v>
      </c>
      <c r="BM20" s="24">
        <v>20558</v>
      </c>
      <c r="BN20" s="26">
        <v>18752</v>
      </c>
      <c r="BO20" s="24">
        <v>17975</v>
      </c>
      <c r="BP20" s="26">
        <v>17110</v>
      </c>
      <c r="BQ20" s="24">
        <v>15988</v>
      </c>
      <c r="BR20" s="26">
        <v>15841</v>
      </c>
      <c r="BS20" s="24">
        <v>15655</v>
      </c>
      <c r="BT20" s="24">
        <v>15516</v>
      </c>
      <c r="BU20" s="24">
        <v>15303</v>
      </c>
      <c r="BV20" s="26">
        <v>15035</v>
      </c>
      <c r="BW20" s="24">
        <v>14547</v>
      </c>
      <c r="BX20" s="26">
        <v>14203</v>
      </c>
      <c r="BY20" s="24">
        <v>13761</v>
      </c>
      <c r="BZ20" s="26">
        <v>11424</v>
      </c>
      <c r="CA20" s="24">
        <v>10621</v>
      </c>
      <c r="CB20" s="24">
        <v>10621</v>
      </c>
      <c r="CC20" s="24">
        <v>10498</v>
      </c>
      <c r="CD20" s="26">
        <v>10213</v>
      </c>
      <c r="CE20" s="24">
        <v>9764</v>
      </c>
      <c r="CF20" s="26">
        <v>9690</v>
      </c>
      <c r="CG20" s="24">
        <v>9132</v>
      </c>
      <c r="CH20" s="26">
        <v>8904</v>
      </c>
      <c r="CI20" s="24">
        <v>8844</v>
      </c>
      <c r="CJ20" s="26">
        <v>7413</v>
      </c>
      <c r="CK20" s="24">
        <v>7398</v>
      </c>
      <c r="CL20" s="24">
        <v>7340</v>
      </c>
      <c r="CM20" s="24">
        <v>7235</v>
      </c>
      <c r="CN20" s="24">
        <v>7189</v>
      </c>
      <c r="CO20" s="24">
        <v>7055</v>
      </c>
      <c r="CP20" s="24">
        <v>6321</v>
      </c>
      <c r="CQ20" s="24">
        <v>6208</v>
      </c>
      <c r="CR20" s="24">
        <v>5059</v>
      </c>
      <c r="CS20" s="24">
        <v>4881</v>
      </c>
      <c r="CT20" s="26">
        <v>4880</v>
      </c>
      <c r="CU20" s="24">
        <v>4599</v>
      </c>
      <c r="CV20" s="26">
        <v>4552</v>
      </c>
      <c r="CW20" s="24">
        <v>4548</v>
      </c>
      <c r="CX20" s="26">
        <v>4448</v>
      </c>
      <c r="CY20" s="24">
        <v>4227</v>
      </c>
      <c r="CZ20" s="24">
        <v>3882</v>
      </c>
      <c r="DA20" s="24">
        <v>3664</v>
      </c>
      <c r="DB20" s="24">
        <v>3439</v>
      </c>
      <c r="DC20" s="24">
        <v>3369</v>
      </c>
      <c r="DD20" s="26">
        <v>3297</v>
      </c>
      <c r="DE20" s="24">
        <v>3200</v>
      </c>
      <c r="DF20" s="26">
        <v>3196</v>
      </c>
      <c r="DG20" s="24">
        <v>3071</v>
      </c>
      <c r="DH20" s="26">
        <v>2893</v>
      </c>
      <c r="DI20" s="24">
        <v>2827</v>
      </c>
      <c r="DJ20" s="24">
        <v>2805</v>
      </c>
      <c r="DK20" s="24">
        <v>2704</v>
      </c>
      <c r="DL20" s="24">
        <v>2532</v>
      </c>
      <c r="DM20" s="24">
        <v>2513</v>
      </c>
      <c r="DN20" s="26">
        <v>2328</v>
      </c>
      <c r="DO20" s="24">
        <v>2316</v>
      </c>
      <c r="DP20" s="24">
        <v>2305</v>
      </c>
      <c r="DQ20" s="24">
        <v>2181</v>
      </c>
      <c r="DR20" s="24">
        <v>2087</v>
      </c>
      <c r="DS20" s="24">
        <v>2034</v>
      </c>
      <c r="DT20" s="26">
        <v>2019</v>
      </c>
      <c r="DU20" s="24">
        <v>1954</v>
      </c>
      <c r="DV20" s="26">
        <v>1879</v>
      </c>
      <c r="DW20" s="24">
        <v>1854</v>
      </c>
      <c r="DX20" s="24">
        <v>1843</v>
      </c>
      <c r="DY20" s="24">
        <v>1783</v>
      </c>
      <c r="DZ20" s="24">
        <v>1770</v>
      </c>
      <c r="EA20" s="24">
        <v>1701</v>
      </c>
      <c r="EB20" s="24">
        <v>1691</v>
      </c>
      <c r="EC20" s="24">
        <v>1557</v>
      </c>
      <c r="ED20" s="24">
        <v>1483</v>
      </c>
      <c r="EE20" s="24">
        <v>1455</v>
      </c>
      <c r="EF20" s="26">
        <v>1219</v>
      </c>
      <c r="EG20" s="24">
        <v>1202</v>
      </c>
      <c r="EH20" s="24">
        <v>1176</v>
      </c>
      <c r="EI20" s="24">
        <v>1167</v>
      </c>
      <c r="EJ20" s="24">
        <v>1137</v>
      </c>
      <c r="EK20" s="24">
        <v>1132</v>
      </c>
      <c r="EL20" s="24">
        <v>1128</v>
      </c>
      <c r="EM20" s="24">
        <v>1100</v>
      </c>
      <c r="EN20" s="26">
        <v>1060</v>
      </c>
      <c r="EO20" s="24">
        <v>950</v>
      </c>
      <c r="EP20" s="24">
        <v>922</v>
      </c>
      <c r="EQ20" s="24">
        <v>907</v>
      </c>
      <c r="ER20" s="26">
        <v>874</v>
      </c>
      <c r="ES20" s="24">
        <v>865</v>
      </c>
      <c r="ET20" s="24">
        <v>853</v>
      </c>
      <c r="EU20" s="24">
        <v>739</v>
      </c>
      <c r="EV20" s="24">
        <v>701</v>
      </c>
      <c r="EW20" s="24">
        <v>699</v>
      </c>
      <c r="EX20" s="26">
        <v>674</v>
      </c>
      <c r="EY20" s="24">
        <v>509</v>
      </c>
      <c r="EZ20" s="26">
        <v>505</v>
      </c>
      <c r="FA20" s="24">
        <v>462</v>
      </c>
      <c r="FB20" s="26">
        <v>431</v>
      </c>
      <c r="FC20" s="24">
        <v>389</v>
      </c>
      <c r="FD20" s="26">
        <v>382</v>
      </c>
      <c r="FE20" s="24">
        <v>378</v>
      </c>
      <c r="FF20" s="24">
        <v>354</v>
      </c>
      <c r="FG20" s="24">
        <v>350</v>
      </c>
      <c r="FH20" s="24">
        <v>344</v>
      </c>
      <c r="FI20" s="24">
        <v>326</v>
      </c>
      <c r="FJ20" s="24">
        <v>289</v>
      </c>
      <c r="FK20" s="24">
        <v>265</v>
      </c>
      <c r="FL20" s="24">
        <v>226</v>
      </c>
      <c r="FM20" s="24">
        <v>148</v>
      </c>
      <c r="FN20" s="24">
        <v>141</v>
      </c>
      <c r="FO20" s="24">
        <v>116</v>
      </c>
      <c r="FP20" s="24">
        <v>114</v>
      </c>
      <c r="FQ20" s="24">
        <v>110</v>
      </c>
      <c r="FR20" s="26">
        <v>99</v>
      </c>
      <c r="FS20" s="24">
        <v>86</v>
      </c>
      <c r="FT20" s="24">
        <v>86</v>
      </c>
      <c r="FU20" s="24">
        <v>62</v>
      </c>
      <c r="FV20" s="24">
        <v>52</v>
      </c>
      <c r="FW20" s="24">
        <v>48</v>
      </c>
      <c r="FX20" s="26">
        <v>27</v>
      </c>
      <c r="FY20" s="24">
        <v>24</v>
      </c>
      <c r="FZ20" s="24">
        <v>24</v>
      </c>
      <c r="GA20" s="24">
        <v>23</v>
      </c>
      <c r="GB20" s="24">
        <v>20</v>
      </c>
      <c r="GC20" s="24">
        <v>18</v>
      </c>
      <c r="GD20" s="24">
        <v>17</v>
      </c>
      <c r="GE20" s="24">
        <v>14</v>
      </c>
      <c r="GF20" s="26">
        <v>12</v>
      </c>
      <c r="GG20" s="30">
        <v>10</v>
      </c>
    </row>
    <row r="21" spans="2:189" x14ac:dyDescent="0.3">
      <c r="B21" s="29" t="s">
        <v>2</v>
      </c>
      <c r="C21" s="24">
        <v>148011</v>
      </c>
      <c r="D21" s="26">
        <v>87618</v>
      </c>
      <c r="E21" s="24">
        <v>33408</v>
      </c>
      <c r="F21" s="24">
        <v>13334</v>
      </c>
      <c r="G21" s="24">
        <v>7067</v>
      </c>
      <c r="H21" s="26">
        <v>44022</v>
      </c>
      <c r="I21" s="24">
        <v>18418</v>
      </c>
      <c r="J21" s="26">
        <v>9187</v>
      </c>
      <c r="K21" s="24">
        <v>45844</v>
      </c>
      <c r="L21" s="26">
        <v>15912</v>
      </c>
      <c r="M21" s="24">
        <v>5842</v>
      </c>
      <c r="N21" s="26">
        <v>28432</v>
      </c>
      <c r="O21" s="24">
        <v>2760</v>
      </c>
      <c r="P21" s="26">
        <v>8777</v>
      </c>
      <c r="Q21" s="24">
        <v>35112</v>
      </c>
      <c r="R21" s="24">
        <v>5630</v>
      </c>
      <c r="S21" s="24">
        <v>2965</v>
      </c>
      <c r="T21" s="26">
        <v>30212</v>
      </c>
      <c r="U21" s="24">
        <v>9125</v>
      </c>
      <c r="V21" s="24">
        <v>3059</v>
      </c>
      <c r="W21" s="24">
        <v>8944</v>
      </c>
      <c r="X21" s="24">
        <v>4458</v>
      </c>
      <c r="Y21" s="24">
        <v>165</v>
      </c>
      <c r="Z21" s="24">
        <v>4838</v>
      </c>
      <c r="AA21" s="24">
        <v>4652</v>
      </c>
      <c r="AB21" s="24">
        <v>4656</v>
      </c>
      <c r="AC21" s="24">
        <v>585</v>
      </c>
      <c r="AD21" s="26">
        <v>1945</v>
      </c>
      <c r="AE21" s="24">
        <v>5532</v>
      </c>
      <c r="AF21" s="26">
        <v>5700</v>
      </c>
      <c r="AG21" s="24">
        <v>393</v>
      </c>
      <c r="AH21" s="24">
        <v>2647</v>
      </c>
      <c r="AI21" s="24">
        <v>538</v>
      </c>
      <c r="AJ21" s="26">
        <v>1636</v>
      </c>
      <c r="AK21" s="24">
        <v>9822</v>
      </c>
      <c r="AL21" s="24">
        <v>438</v>
      </c>
      <c r="AM21" s="24">
        <v>1083</v>
      </c>
      <c r="AN21" s="24">
        <v>474</v>
      </c>
      <c r="AO21" s="24">
        <v>1322</v>
      </c>
      <c r="AP21" s="24">
        <v>345</v>
      </c>
      <c r="AQ21" s="24">
        <v>6160</v>
      </c>
      <c r="AR21" s="24">
        <v>27</v>
      </c>
      <c r="AS21" s="24">
        <v>1719</v>
      </c>
      <c r="AT21" s="26">
        <v>2206</v>
      </c>
      <c r="AU21" s="24">
        <v>1761</v>
      </c>
      <c r="AV21" s="24">
        <v>1676</v>
      </c>
      <c r="AW21" s="24">
        <v>860</v>
      </c>
      <c r="AX21" s="24">
        <v>1166</v>
      </c>
      <c r="AY21" s="24">
        <v>141</v>
      </c>
      <c r="AZ21" s="26">
        <v>711</v>
      </c>
      <c r="BA21" s="24">
        <v>1269</v>
      </c>
      <c r="BB21" s="24">
        <v>1978</v>
      </c>
      <c r="BC21" s="24">
        <v>168</v>
      </c>
      <c r="BD21" s="26">
        <v>1301</v>
      </c>
      <c r="BE21" s="24">
        <v>998</v>
      </c>
      <c r="BF21" s="24">
        <v>423</v>
      </c>
      <c r="BG21" s="24">
        <v>1163</v>
      </c>
      <c r="BH21" s="26">
        <v>1764</v>
      </c>
      <c r="BI21" s="24">
        <v>543</v>
      </c>
      <c r="BJ21" s="24">
        <v>748</v>
      </c>
      <c r="BK21" s="24">
        <v>121</v>
      </c>
      <c r="BL21" s="24">
        <v>316</v>
      </c>
      <c r="BM21" s="24">
        <v>713</v>
      </c>
      <c r="BN21" s="26">
        <v>48</v>
      </c>
      <c r="BO21" s="24">
        <v>285</v>
      </c>
      <c r="BP21" s="26">
        <v>391</v>
      </c>
      <c r="BQ21" s="24">
        <v>146</v>
      </c>
      <c r="BR21" s="26">
        <v>115</v>
      </c>
      <c r="BS21" s="24">
        <v>96</v>
      </c>
      <c r="BT21" s="24">
        <v>373</v>
      </c>
      <c r="BU21" s="24">
        <v>167</v>
      </c>
      <c r="BV21" s="26">
        <v>408</v>
      </c>
      <c r="BW21" s="24">
        <v>228</v>
      </c>
      <c r="BX21" s="26">
        <v>300</v>
      </c>
      <c r="BY21" s="24">
        <v>613</v>
      </c>
      <c r="BZ21" s="26">
        <v>720</v>
      </c>
      <c r="CA21" s="24">
        <v>347</v>
      </c>
      <c r="CB21" s="24">
        <v>78</v>
      </c>
      <c r="CC21" s="24">
        <v>294</v>
      </c>
      <c r="CD21" s="26">
        <v>466</v>
      </c>
      <c r="CE21" s="24">
        <v>194</v>
      </c>
      <c r="CF21" s="26">
        <v>91</v>
      </c>
      <c r="CG21" s="24">
        <v>255</v>
      </c>
      <c r="CH21" s="26">
        <v>124</v>
      </c>
      <c r="CI21" s="24">
        <v>208</v>
      </c>
      <c r="CJ21" s="26">
        <v>185</v>
      </c>
      <c r="CK21" s="24">
        <v>329</v>
      </c>
      <c r="CL21" s="24">
        <v>158</v>
      </c>
      <c r="CM21" s="24">
        <v>60</v>
      </c>
      <c r="CN21" s="24">
        <v>49</v>
      </c>
      <c r="CO21" s="24">
        <v>45</v>
      </c>
      <c r="CP21" s="24">
        <v>112</v>
      </c>
      <c r="CQ21" s="24">
        <v>156</v>
      </c>
      <c r="CR21" s="24">
        <v>58</v>
      </c>
      <c r="CS21" s="24">
        <v>139</v>
      </c>
      <c r="CT21" s="26">
        <v>144</v>
      </c>
      <c r="CU21" s="24">
        <v>59</v>
      </c>
      <c r="CV21" s="26">
        <v>140</v>
      </c>
      <c r="CW21" s="24">
        <v>43</v>
      </c>
      <c r="CX21" s="26">
        <v>596</v>
      </c>
      <c r="CY21" s="24">
        <v>202</v>
      </c>
      <c r="CZ21" s="24">
        <v>51</v>
      </c>
      <c r="DA21" s="24">
        <v>99</v>
      </c>
      <c r="DB21" s="24">
        <v>108</v>
      </c>
      <c r="DC21" s="24">
        <v>15</v>
      </c>
      <c r="DD21" s="26">
        <v>58</v>
      </c>
      <c r="DE21" s="24">
        <v>54</v>
      </c>
      <c r="DF21" s="26">
        <v>93</v>
      </c>
      <c r="DG21" s="24">
        <v>51</v>
      </c>
      <c r="DH21" s="26">
        <v>45</v>
      </c>
      <c r="DI21" s="24">
        <v>64</v>
      </c>
      <c r="DJ21" s="24">
        <v>11</v>
      </c>
      <c r="DK21" s="24">
        <v>36</v>
      </c>
      <c r="DL21" s="24">
        <v>87</v>
      </c>
      <c r="DM21" s="24">
        <v>124</v>
      </c>
      <c r="DN21" s="26">
        <v>22</v>
      </c>
      <c r="DO21" s="24">
        <v>34</v>
      </c>
      <c r="DP21" s="24">
        <v>46</v>
      </c>
      <c r="DQ21" s="24">
        <v>28</v>
      </c>
      <c r="DR21" s="24">
        <v>116</v>
      </c>
      <c r="DS21" s="24">
        <v>69</v>
      </c>
      <c r="DT21" s="26">
        <v>80</v>
      </c>
      <c r="DU21" s="24">
        <v>26</v>
      </c>
      <c r="DV21" s="26">
        <v>5</v>
      </c>
      <c r="DW21" s="24">
        <v>10</v>
      </c>
      <c r="DX21" s="24">
        <v>8</v>
      </c>
      <c r="DY21" s="24">
        <v>66</v>
      </c>
      <c r="DZ21" s="24">
        <v>35</v>
      </c>
      <c r="EA21" s="24">
        <v>11</v>
      </c>
      <c r="EB21" s="24">
        <v>483</v>
      </c>
      <c r="EC21" s="24">
        <v>22</v>
      </c>
      <c r="ED21" s="24">
        <v>24</v>
      </c>
      <c r="EE21" s="24">
        <v>50</v>
      </c>
      <c r="EF21" s="26">
        <v>31</v>
      </c>
      <c r="EG21" s="24">
        <v>35</v>
      </c>
      <c r="EH21" s="24">
        <v>11</v>
      </c>
      <c r="EI21" s="24">
        <v>72</v>
      </c>
      <c r="EJ21" s="24">
        <v>16</v>
      </c>
      <c r="EK21" s="24">
        <v>69</v>
      </c>
      <c r="EL21" s="24">
        <v>2</v>
      </c>
      <c r="EM21" s="24">
        <v>53</v>
      </c>
      <c r="EN21" s="26">
        <v>19</v>
      </c>
      <c r="EO21" s="24">
        <v>41</v>
      </c>
      <c r="EP21" s="24">
        <v>75</v>
      </c>
      <c r="EQ21" s="24">
        <v>52</v>
      </c>
      <c r="ER21" s="26">
        <v>18</v>
      </c>
      <c r="ES21" s="24">
        <v>14</v>
      </c>
      <c r="ET21" s="24">
        <v>10</v>
      </c>
      <c r="EU21" s="24">
        <v>2</v>
      </c>
      <c r="EV21" s="24">
        <v>9</v>
      </c>
      <c r="EW21" s="24">
        <v>42</v>
      </c>
      <c r="EX21" s="26">
        <v>40</v>
      </c>
      <c r="EY21" s="24">
        <v>21</v>
      </c>
      <c r="EZ21" s="26">
        <v>12</v>
      </c>
      <c r="FA21" s="24">
        <v>7</v>
      </c>
      <c r="FB21" s="26">
        <v>0</v>
      </c>
      <c r="FC21" s="24">
        <v>20</v>
      </c>
      <c r="FD21" s="26">
        <v>11</v>
      </c>
      <c r="FE21" s="24">
        <v>1</v>
      </c>
      <c r="FF21" s="24">
        <v>7</v>
      </c>
      <c r="FG21" s="24">
        <v>6</v>
      </c>
      <c r="FH21" s="24">
        <v>10</v>
      </c>
      <c r="FI21" s="24">
        <v>8</v>
      </c>
      <c r="FJ21" s="24">
        <v>0</v>
      </c>
      <c r="FK21" s="24">
        <v>0</v>
      </c>
      <c r="FL21" s="24">
        <v>0</v>
      </c>
      <c r="FM21" s="24">
        <v>8</v>
      </c>
      <c r="FN21" s="24">
        <v>3</v>
      </c>
      <c r="FO21" s="24">
        <v>4</v>
      </c>
      <c r="FP21" s="24">
        <v>0</v>
      </c>
      <c r="FQ21" s="24">
        <v>7</v>
      </c>
      <c r="FR21" s="26">
        <v>0</v>
      </c>
      <c r="FS21" s="24">
        <v>3</v>
      </c>
      <c r="FT21" s="24">
        <v>1</v>
      </c>
      <c r="FU21" s="24">
        <v>0</v>
      </c>
      <c r="FV21" s="24">
        <v>0</v>
      </c>
      <c r="FW21" s="24">
        <v>2</v>
      </c>
      <c r="FX21" s="26">
        <v>0</v>
      </c>
      <c r="FY21" s="24">
        <v>0</v>
      </c>
      <c r="FZ21" s="24">
        <v>0</v>
      </c>
      <c r="GA21" s="24">
        <v>0</v>
      </c>
      <c r="GB21" s="24">
        <v>0</v>
      </c>
      <c r="GC21" s="24">
        <v>0</v>
      </c>
      <c r="GD21" s="24">
        <v>0</v>
      </c>
      <c r="GE21" s="24">
        <v>0</v>
      </c>
      <c r="GF21" s="26">
        <v>0</v>
      </c>
      <c r="GG21" s="30">
        <v>1</v>
      </c>
    </row>
    <row r="22" spans="2:189" x14ac:dyDescent="0.3">
      <c r="B22" s="29" t="s">
        <v>3</v>
      </c>
      <c r="C22" s="24">
        <v>1325804</v>
      </c>
      <c r="D22" s="26">
        <v>1846641</v>
      </c>
      <c r="E22" s="24">
        <v>951166</v>
      </c>
      <c r="F22" s="24">
        <v>602249</v>
      </c>
      <c r="G22" s="24">
        <v>274925</v>
      </c>
      <c r="H22" s="26">
        <v>303810</v>
      </c>
      <c r="I22" s="24">
        <v>272547</v>
      </c>
      <c r="J22" s="26">
        <v>319954</v>
      </c>
      <c r="K22" s="24">
        <v>1437</v>
      </c>
      <c r="L22" s="26">
        <v>255144</v>
      </c>
      <c r="M22" s="24">
        <v>241026</v>
      </c>
      <c r="N22" s="26">
        <v>150376</v>
      </c>
      <c r="O22" s="24">
        <v>222936</v>
      </c>
      <c r="P22" s="26">
        <v>131161</v>
      </c>
      <c r="Q22" s="24">
        <v>198593</v>
      </c>
      <c r="R22" s="24">
        <v>210469</v>
      </c>
      <c r="S22" s="24">
        <v>125683</v>
      </c>
      <c r="T22" s="26">
        <v>81212</v>
      </c>
      <c r="U22" s="24">
        <v>190314</v>
      </c>
      <c r="V22" s="24">
        <v>72575</v>
      </c>
      <c r="W22" s="24">
        <v>0</v>
      </c>
      <c r="X22" s="24">
        <v>77144</v>
      </c>
      <c r="Y22" s="24">
        <v>106328</v>
      </c>
      <c r="Z22" s="24">
        <v>58173</v>
      </c>
      <c r="AA22" s="24">
        <v>34838</v>
      </c>
      <c r="AB22" s="24">
        <v>78869</v>
      </c>
      <c r="AC22" s="24">
        <v>54404</v>
      </c>
      <c r="AD22" s="26">
        <v>26446</v>
      </c>
      <c r="AE22" s="24">
        <v>34896</v>
      </c>
      <c r="AF22" s="26">
        <v>0</v>
      </c>
      <c r="AG22" s="24">
        <v>57028</v>
      </c>
      <c r="AH22" s="24">
        <v>21478</v>
      </c>
      <c r="AI22" s="24">
        <v>60492</v>
      </c>
      <c r="AJ22" s="26">
        <v>37202</v>
      </c>
      <c r="AK22" s="24">
        <v>17452</v>
      </c>
      <c r="AL22" s="24">
        <v>55057</v>
      </c>
      <c r="AM22" s="24">
        <v>30204</v>
      </c>
      <c r="AN22" s="24">
        <v>27133</v>
      </c>
      <c r="AO22" s="24">
        <v>35086</v>
      </c>
      <c r="AP22" s="24">
        <v>52510</v>
      </c>
      <c r="AQ22" s="24">
        <v>189</v>
      </c>
      <c r="AR22" s="24">
        <v>45692</v>
      </c>
      <c r="AS22" s="24">
        <v>35375</v>
      </c>
      <c r="AT22" s="26">
        <v>25794</v>
      </c>
      <c r="AU22" s="24">
        <v>32455</v>
      </c>
      <c r="AV22" s="24">
        <v>32856</v>
      </c>
      <c r="AW22" s="24">
        <v>18203</v>
      </c>
      <c r="AX22" s="24">
        <v>5039</v>
      </c>
      <c r="AY22" s="24">
        <v>36110</v>
      </c>
      <c r="AZ22" s="26">
        <v>26665</v>
      </c>
      <c r="BA22" s="24">
        <v>25198</v>
      </c>
      <c r="BB22" s="24">
        <v>30900</v>
      </c>
      <c r="BC22" s="24">
        <v>29801</v>
      </c>
      <c r="BD22" s="26">
        <v>21205</v>
      </c>
      <c r="BE22" s="24">
        <v>21970</v>
      </c>
      <c r="BF22" s="24">
        <v>23242</v>
      </c>
      <c r="BG22" s="24">
        <v>18837</v>
      </c>
      <c r="BH22" s="26">
        <v>23364</v>
      </c>
      <c r="BI22" s="24">
        <v>0</v>
      </c>
      <c r="BJ22" s="24">
        <v>16154</v>
      </c>
      <c r="BK22" s="24">
        <v>11674</v>
      </c>
      <c r="BL22" s="24">
        <v>16553</v>
      </c>
      <c r="BM22" s="24">
        <v>18246</v>
      </c>
      <c r="BN22" s="26">
        <v>13754</v>
      </c>
      <c r="BO22" s="24">
        <v>7833</v>
      </c>
      <c r="BP22" s="26">
        <v>14539</v>
      </c>
      <c r="BQ22" s="24">
        <v>9959</v>
      </c>
      <c r="BR22" s="26">
        <v>3824</v>
      </c>
      <c r="BS22" s="24">
        <v>10361</v>
      </c>
      <c r="BT22" s="24">
        <v>11428</v>
      </c>
      <c r="BU22" s="24">
        <v>9311</v>
      </c>
      <c r="BV22" s="26">
        <v>7778</v>
      </c>
      <c r="BW22" s="24">
        <v>6386</v>
      </c>
      <c r="BX22" s="26">
        <v>13007</v>
      </c>
      <c r="BY22" s="24">
        <v>12605</v>
      </c>
      <c r="BZ22" s="26">
        <v>5939</v>
      </c>
      <c r="CA22" s="24">
        <v>5585</v>
      </c>
      <c r="CB22" s="24">
        <v>3752</v>
      </c>
      <c r="CC22" s="24">
        <v>4930</v>
      </c>
      <c r="CD22" s="26">
        <v>5564</v>
      </c>
      <c r="CE22" s="24">
        <v>6477</v>
      </c>
      <c r="CF22" s="26">
        <v>6260</v>
      </c>
      <c r="CG22" s="24">
        <v>8752</v>
      </c>
      <c r="CH22" s="26">
        <v>8601</v>
      </c>
      <c r="CI22" s="24">
        <v>5700</v>
      </c>
      <c r="CJ22" s="26">
        <v>4027</v>
      </c>
      <c r="CK22" s="24">
        <v>6920</v>
      </c>
      <c r="CL22" s="24">
        <v>4365</v>
      </c>
      <c r="CM22" s="24">
        <v>6028</v>
      </c>
      <c r="CN22" s="24">
        <v>4682</v>
      </c>
      <c r="CO22" s="24">
        <v>6257</v>
      </c>
      <c r="CP22" s="24">
        <v>4825</v>
      </c>
      <c r="CQ22" s="24">
        <v>4653</v>
      </c>
      <c r="CR22" s="24">
        <v>4977</v>
      </c>
      <c r="CS22" s="24">
        <v>3936</v>
      </c>
      <c r="CT22" s="26">
        <v>2745</v>
      </c>
      <c r="CU22" s="24">
        <v>1546</v>
      </c>
      <c r="CV22" s="26">
        <v>2815</v>
      </c>
      <c r="CW22" s="24">
        <v>2905</v>
      </c>
      <c r="CX22" s="26">
        <v>3329</v>
      </c>
      <c r="CY22" s="24">
        <v>1374</v>
      </c>
      <c r="CZ22" s="24">
        <v>1709</v>
      </c>
      <c r="DA22" s="24">
        <v>1645</v>
      </c>
      <c r="DB22" s="24">
        <v>2492</v>
      </c>
      <c r="DC22" s="24">
        <v>2547</v>
      </c>
      <c r="DD22" s="26">
        <v>3111</v>
      </c>
      <c r="DE22" s="24">
        <v>829</v>
      </c>
      <c r="DF22" s="26">
        <v>1543</v>
      </c>
      <c r="DG22" s="24">
        <v>842</v>
      </c>
      <c r="DH22" s="26">
        <v>809</v>
      </c>
      <c r="DI22" s="24">
        <v>577</v>
      </c>
      <c r="DJ22" s="24">
        <v>2121</v>
      </c>
      <c r="DK22" s="24">
        <v>542</v>
      </c>
      <c r="DL22" s="24">
        <v>2351</v>
      </c>
      <c r="DM22" s="24">
        <v>1913</v>
      </c>
      <c r="DN22" s="26">
        <v>1550</v>
      </c>
      <c r="DO22" s="24">
        <v>1025</v>
      </c>
      <c r="DP22" s="24">
        <v>1175</v>
      </c>
      <c r="DQ22" s="24">
        <v>1616</v>
      </c>
      <c r="DR22" s="24">
        <v>1733</v>
      </c>
      <c r="DS22" s="24">
        <v>1923</v>
      </c>
      <c r="DT22" s="26">
        <v>1620</v>
      </c>
      <c r="DU22" s="24">
        <v>803</v>
      </c>
      <c r="DV22" s="26">
        <v>975</v>
      </c>
      <c r="DW22" s="24">
        <v>1823</v>
      </c>
      <c r="DX22" s="24">
        <v>101</v>
      </c>
      <c r="DY22" s="24">
        <v>1317</v>
      </c>
      <c r="DZ22" s="24">
        <v>1036</v>
      </c>
      <c r="EA22" s="24">
        <v>0</v>
      </c>
      <c r="EB22" s="24">
        <v>833</v>
      </c>
      <c r="EC22" s="24">
        <v>1514</v>
      </c>
      <c r="ED22" s="24">
        <v>925</v>
      </c>
      <c r="EE22" s="24">
        <v>1157</v>
      </c>
      <c r="EF22" s="26">
        <v>1045</v>
      </c>
      <c r="EG22" s="24">
        <v>951</v>
      </c>
      <c r="EH22" s="24">
        <v>1041</v>
      </c>
      <c r="EI22" s="24">
        <v>646</v>
      </c>
      <c r="EJ22" s="24">
        <v>922</v>
      </c>
      <c r="EK22" s="24">
        <v>1027</v>
      </c>
      <c r="EL22" s="24">
        <v>986</v>
      </c>
      <c r="EM22" s="24">
        <v>926</v>
      </c>
      <c r="EN22" s="26">
        <v>852</v>
      </c>
      <c r="EO22" s="24">
        <v>242</v>
      </c>
      <c r="EP22" s="24">
        <v>810</v>
      </c>
      <c r="EQ22" s="24">
        <v>803</v>
      </c>
      <c r="ER22" s="26">
        <v>607</v>
      </c>
      <c r="ES22" s="24">
        <v>734</v>
      </c>
      <c r="ET22" s="24">
        <v>714</v>
      </c>
      <c r="EU22" s="24">
        <v>63</v>
      </c>
      <c r="EV22" s="24">
        <v>665</v>
      </c>
      <c r="EW22" s="24">
        <v>657</v>
      </c>
      <c r="EX22" s="26">
        <v>0</v>
      </c>
      <c r="EY22" s="24">
        <v>183</v>
      </c>
      <c r="EZ22" s="26">
        <v>128</v>
      </c>
      <c r="FA22" s="24">
        <v>440</v>
      </c>
      <c r="FB22" s="26">
        <v>365</v>
      </c>
      <c r="FC22" s="24">
        <v>181</v>
      </c>
      <c r="FD22" s="26">
        <v>91</v>
      </c>
      <c r="FE22" s="24">
        <v>301</v>
      </c>
      <c r="FF22" s="24">
        <v>328</v>
      </c>
      <c r="FG22" s="24">
        <v>292</v>
      </c>
      <c r="FH22" s="24">
        <v>332</v>
      </c>
      <c r="FI22" s="24">
        <v>66</v>
      </c>
      <c r="FJ22" s="24">
        <v>222</v>
      </c>
      <c r="FK22" s="24">
        <v>191</v>
      </c>
      <c r="FL22" s="24">
        <v>147</v>
      </c>
      <c r="FM22" s="24">
        <v>128</v>
      </c>
      <c r="FN22" s="24">
        <v>138</v>
      </c>
      <c r="FO22" s="24">
        <v>104</v>
      </c>
      <c r="FP22" s="24">
        <v>39</v>
      </c>
      <c r="FQ22" s="24">
        <v>94</v>
      </c>
      <c r="FR22" s="26">
        <v>86</v>
      </c>
      <c r="FS22" s="24">
        <v>65</v>
      </c>
      <c r="FT22" s="24">
        <v>81</v>
      </c>
      <c r="FU22" s="24">
        <v>11</v>
      </c>
      <c r="FV22" s="24">
        <v>39</v>
      </c>
      <c r="FW22" s="24">
        <v>26</v>
      </c>
      <c r="FX22" s="26">
        <v>18</v>
      </c>
      <c r="FY22" s="24">
        <v>22</v>
      </c>
      <c r="FZ22" s="24">
        <v>0</v>
      </c>
      <c r="GA22" s="24">
        <v>23</v>
      </c>
      <c r="GB22" s="24">
        <v>19</v>
      </c>
      <c r="GC22" s="24">
        <v>18</v>
      </c>
      <c r="GD22" s="24">
        <v>15</v>
      </c>
      <c r="GE22" s="24">
        <v>13</v>
      </c>
      <c r="GF22" s="26">
        <v>12</v>
      </c>
      <c r="GG22" s="30">
        <v>8</v>
      </c>
    </row>
    <row r="23" spans="2:189" x14ac:dyDescent="0.3">
      <c r="B23" s="29" t="s">
        <v>4</v>
      </c>
      <c r="C23" s="24">
        <v>2816444</v>
      </c>
      <c r="D23" s="26">
        <v>508116</v>
      </c>
      <c r="E23" s="24">
        <v>495499</v>
      </c>
      <c r="F23" s="24">
        <v>201097</v>
      </c>
      <c r="G23" s="24">
        <v>170537</v>
      </c>
      <c r="H23" s="26">
        <v>47657</v>
      </c>
      <c r="I23" s="24">
        <v>98752</v>
      </c>
      <c r="J23" s="26">
        <v>18782</v>
      </c>
      <c r="K23" s="24">
        <v>254427</v>
      </c>
      <c r="L23" s="26">
        <v>22550</v>
      </c>
      <c r="M23" s="24">
        <v>27421</v>
      </c>
      <c r="N23" s="26">
        <v>93613</v>
      </c>
      <c r="O23" s="24">
        <v>43238</v>
      </c>
      <c r="P23" s="26">
        <v>117163</v>
      </c>
      <c r="Q23" s="24">
        <v>12581</v>
      </c>
      <c r="R23" s="24">
        <v>10920</v>
      </c>
      <c r="S23" s="24">
        <v>97577</v>
      </c>
      <c r="T23" s="26">
        <v>108928</v>
      </c>
      <c r="U23" s="24">
        <v>7673</v>
      </c>
      <c r="V23" s="24">
        <v>91782</v>
      </c>
      <c r="W23" s="24">
        <v>107514</v>
      </c>
      <c r="X23" s="24">
        <v>30983</v>
      </c>
      <c r="Y23" s="24">
        <v>3104</v>
      </c>
      <c r="Z23" s="24">
        <v>37292</v>
      </c>
      <c r="AA23" s="24">
        <v>52992</v>
      </c>
      <c r="AB23" s="24">
        <v>3258</v>
      </c>
      <c r="AC23" s="24">
        <v>29659</v>
      </c>
      <c r="AD23" s="26">
        <v>53649</v>
      </c>
      <c r="AE23" s="24">
        <v>40733</v>
      </c>
      <c r="AF23" s="26">
        <v>73695</v>
      </c>
      <c r="AG23" s="24">
        <v>19637</v>
      </c>
      <c r="AH23" s="24">
        <v>47056</v>
      </c>
      <c r="AI23" s="24">
        <v>6221</v>
      </c>
      <c r="AJ23" s="26">
        <v>28258</v>
      </c>
      <c r="AK23" s="24">
        <v>39154</v>
      </c>
      <c r="AL23" s="24">
        <v>8884</v>
      </c>
      <c r="AM23" s="24">
        <v>32869</v>
      </c>
      <c r="AN23" s="24">
        <v>36378</v>
      </c>
      <c r="AO23" s="24">
        <v>25034</v>
      </c>
      <c r="AP23" s="24">
        <v>6322</v>
      </c>
      <c r="AQ23" s="24">
        <v>47064</v>
      </c>
      <c r="AR23" s="24">
        <v>5119</v>
      </c>
      <c r="AS23" s="24">
        <v>13205</v>
      </c>
      <c r="AT23" s="26">
        <v>17902</v>
      </c>
      <c r="AU23" s="24">
        <v>11093</v>
      </c>
      <c r="AV23" s="24">
        <v>8870</v>
      </c>
      <c r="AW23" s="24">
        <v>22117</v>
      </c>
      <c r="AX23" s="24">
        <v>33536</v>
      </c>
      <c r="AY23" s="24">
        <v>3231</v>
      </c>
      <c r="AZ23" s="26">
        <v>10014</v>
      </c>
      <c r="BA23" s="24">
        <v>9796</v>
      </c>
      <c r="BB23" s="24">
        <v>1599</v>
      </c>
      <c r="BC23" s="24">
        <v>3655</v>
      </c>
      <c r="BD23" s="26">
        <v>10790</v>
      </c>
      <c r="BE23" s="24">
        <v>8174</v>
      </c>
      <c r="BF23" s="24">
        <v>6781</v>
      </c>
      <c r="BG23" s="24">
        <v>7973</v>
      </c>
      <c r="BH23" s="26">
        <v>764</v>
      </c>
      <c r="BI23" s="24">
        <v>23598</v>
      </c>
      <c r="BJ23" s="24">
        <v>6252</v>
      </c>
      <c r="BK23" s="24">
        <v>9414</v>
      </c>
      <c r="BL23" s="24">
        <v>4018</v>
      </c>
      <c r="BM23" s="24">
        <v>1599</v>
      </c>
      <c r="BN23" s="26">
        <v>4950</v>
      </c>
      <c r="BO23" s="24">
        <v>9857</v>
      </c>
      <c r="BP23" s="26">
        <v>2180</v>
      </c>
      <c r="BQ23" s="24">
        <v>5883</v>
      </c>
      <c r="BR23" s="26">
        <v>11902</v>
      </c>
      <c r="BS23" s="24">
        <v>5198</v>
      </c>
      <c r="BT23" s="24">
        <v>3715</v>
      </c>
      <c r="BU23" s="24">
        <v>5825</v>
      </c>
      <c r="BV23" s="26">
        <v>6849</v>
      </c>
      <c r="BW23" s="24">
        <v>7933</v>
      </c>
      <c r="BX23" s="26">
        <v>896</v>
      </c>
      <c r="BY23" s="24">
        <v>543</v>
      </c>
      <c r="BZ23" s="26">
        <v>4765</v>
      </c>
      <c r="CA23" s="24">
        <v>4689</v>
      </c>
      <c r="CB23" s="24">
        <v>6791</v>
      </c>
      <c r="CC23" s="24">
        <v>5274</v>
      </c>
      <c r="CD23" s="26">
        <v>4183</v>
      </c>
      <c r="CE23" s="24">
        <v>3093</v>
      </c>
      <c r="CF23" s="26">
        <v>3339</v>
      </c>
      <c r="CG23" s="24">
        <v>125</v>
      </c>
      <c r="CH23" s="26">
        <v>179</v>
      </c>
      <c r="CI23" s="24">
        <v>2936</v>
      </c>
      <c r="CJ23" s="26">
        <v>3201</v>
      </c>
      <c r="CK23" s="24">
        <v>149</v>
      </c>
      <c r="CL23" s="24">
        <v>2817</v>
      </c>
      <c r="CM23" s="24">
        <v>1147</v>
      </c>
      <c r="CN23" s="24">
        <v>2458</v>
      </c>
      <c r="CO23" s="24">
        <v>753</v>
      </c>
      <c r="CP23" s="24">
        <v>1384</v>
      </c>
      <c r="CQ23" s="24">
        <v>1399</v>
      </c>
      <c r="CR23" s="24">
        <v>24</v>
      </c>
      <c r="CS23" s="24">
        <v>806</v>
      </c>
      <c r="CT23" s="26">
        <v>1991</v>
      </c>
      <c r="CU23" s="24">
        <v>2994</v>
      </c>
      <c r="CV23" s="26">
        <v>1597</v>
      </c>
      <c r="CW23" s="24">
        <v>1600</v>
      </c>
      <c r="CX23" s="26">
        <v>523</v>
      </c>
      <c r="CY23" s="24">
        <v>2651</v>
      </c>
      <c r="CZ23" s="24">
        <v>2122</v>
      </c>
      <c r="DA23" s="24">
        <v>1920</v>
      </c>
      <c r="DB23" s="24">
        <v>839</v>
      </c>
      <c r="DC23" s="24">
        <v>807</v>
      </c>
      <c r="DD23" s="26">
        <v>128</v>
      </c>
      <c r="DE23" s="24">
        <v>2317</v>
      </c>
      <c r="DF23" s="26">
        <v>1560</v>
      </c>
      <c r="DG23" s="24">
        <v>2178</v>
      </c>
      <c r="DH23" s="26">
        <v>2039</v>
      </c>
      <c r="DI23" s="24">
        <v>2186</v>
      </c>
      <c r="DJ23" s="24">
        <v>673</v>
      </c>
      <c r="DK23" s="24">
        <v>2126</v>
      </c>
      <c r="DL23" s="24">
        <v>94</v>
      </c>
      <c r="DM23" s="24">
        <v>476</v>
      </c>
      <c r="DN23" s="26">
        <v>756</v>
      </c>
      <c r="DO23" s="24">
        <v>1257</v>
      </c>
      <c r="DP23" s="24">
        <v>1084</v>
      </c>
      <c r="DQ23" s="24">
        <v>537</v>
      </c>
      <c r="DR23" s="24">
        <v>238</v>
      </c>
      <c r="DS23" s="24">
        <v>42</v>
      </c>
      <c r="DT23" s="26">
        <v>319</v>
      </c>
      <c r="DU23" s="24">
        <v>1125</v>
      </c>
      <c r="DV23" s="26">
        <v>899</v>
      </c>
      <c r="DW23" s="24">
        <v>21</v>
      </c>
      <c r="DX23" s="24">
        <v>1734</v>
      </c>
      <c r="DY23" s="24">
        <v>400</v>
      </c>
      <c r="DZ23" s="24">
        <v>699</v>
      </c>
      <c r="EA23" s="24">
        <v>1690</v>
      </c>
      <c r="EB23" s="24">
        <v>375</v>
      </c>
      <c r="EC23" s="24">
        <v>21</v>
      </c>
      <c r="ED23" s="24">
        <v>534</v>
      </c>
      <c r="EE23" s="24">
        <v>248</v>
      </c>
      <c r="EF23" s="26">
        <v>143</v>
      </c>
      <c r="EG23" s="24">
        <v>216</v>
      </c>
      <c r="EH23" s="24">
        <v>124</v>
      </c>
      <c r="EI23" s="24">
        <v>449</v>
      </c>
      <c r="EJ23" s="24">
        <v>199</v>
      </c>
      <c r="EK23" s="24">
        <v>36</v>
      </c>
      <c r="EL23" s="24">
        <v>140</v>
      </c>
      <c r="EM23" s="24">
        <v>121</v>
      </c>
      <c r="EN23" s="26">
        <v>189</v>
      </c>
      <c r="EO23" s="24">
        <v>667</v>
      </c>
      <c r="EP23" s="24">
        <v>37</v>
      </c>
      <c r="EQ23" s="24">
        <v>52</v>
      </c>
      <c r="ER23" s="26">
        <v>249</v>
      </c>
      <c r="ES23" s="24">
        <v>117</v>
      </c>
      <c r="ET23" s="24">
        <v>129</v>
      </c>
      <c r="EU23" s="24">
        <v>674</v>
      </c>
      <c r="EV23" s="24">
        <v>27</v>
      </c>
      <c r="EW23" s="24">
        <v>0</v>
      </c>
      <c r="EX23" s="26">
        <v>634</v>
      </c>
      <c r="EY23" s="24">
        <v>305</v>
      </c>
      <c r="EZ23" s="26">
        <v>365</v>
      </c>
      <c r="FA23" s="24">
        <v>15</v>
      </c>
      <c r="FB23" s="26">
        <v>66</v>
      </c>
      <c r="FC23" s="24">
        <v>188</v>
      </c>
      <c r="FD23" s="26">
        <v>280</v>
      </c>
      <c r="FE23" s="24">
        <v>76</v>
      </c>
      <c r="FF23" s="24">
        <v>19</v>
      </c>
      <c r="FG23" s="24">
        <v>52</v>
      </c>
      <c r="FH23" s="24">
        <v>2</v>
      </c>
      <c r="FI23" s="24">
        <v>252</v>
      </c>
      <c r="FJ23" s="24">
        <v>67</v>
      </c>
      <c r="FK23" s="24">
        <v>74</v>
      </c>
      <c r="FL23" s="24">
        <v>79</v>
      </c>
      <c r="FM23" s="24">
        <v>12</v>
      </c>
      <c r="FN23" s="24">
        <v>0</v>
      </c>
      <c r="FO23" s="24">
        <v>8</v>
      </c>
      <c r="FP23" s="24">
        <v>75</v>
      </c>
      <c r="FQ23" s="24">
        <v>9</v>
      </c>
      <c r="FR23" s="26">
        <v>13</v>
      </c>
      <c r="FS23" s="24">
        <v>18</v>
      </c>
      <c r="FT23" s="24">
        <v>4</v>
      </c>
      <c r="FU23" s="24">
        <v>51</v>
      </c>
      <c r="FV23" s="24">
        <v>13</v>
      </c>
      <c r="FW23" s="24">
        <v>20</v>
      </c>
      <c r="FX23" s="26">
        <v>9</v>
      </c>
      <c r="FY23" s="24">
        <v>2</v>
      </c>
      <c r="FZ23" s="24">
        <v>24</v>
      </c>
      <c r="GA23" s="24">
        <v>0</v>
      </c>
      <c r="GB23" s="24">
        <v>1</v>
      </c>
      <c r="GC23" s="24">
        <v>0</v>
      </c>
      <c r="GD23" s="24">
        <v>2</v>
      </c>
      <c r="GE23" s="24">
        <v>1</v>
      </c>
      <c r="GF23" s="26">
        <v>0</v>
      </c>
      <c r="GG23" s="30">
        <v>1</v>
      </c>
    </row>
    <row r="24" spans="2:189" x14ac:dyDescent="0.3">
      <c r="B24" s="31" t="s">
        <v>192</v>
      </c>
      <c r="C24" s="24">
        <v>331198130</v>
      </c>
      <c r="D24" s="26">
        <v>212710692</v>
      </c>
      <c r="E24" s="24">
        <v>1381344997</v>
      </c>
      <c r="F24" s="24">
        <v>145940924</v>
      </c>
      <c r="G24" s="24">
        <v>59381566</v>
      </c>
      <c r="H24" s="26">
        <v>129066160</v>
      </c>
      <c r="I24" s="24">
        <v>33016319</v>
      </c>
      <c r="J24" s="26">
        <v>19132514</v>
      </c>
      <c r="K24" s="24">
        <v>67922029</v>
      </c>
      <c r="L24" s="26">
        <v>84097623</v>
      </c>
      <c r="M24" s="24">
        <v>221295851</v>
      </c>
      <c r="N24" s="26">
        <v>46756648</v>
      </c>
      <c r="O24" s="24">
        <v>34865919</v>
      </c>
      <c r="P24" s="26">
        <v>50936262</v>
      </c>
      <c r="Q24" s="24">
        <v>60452568</v>
      </c>
      <c r="R24" s="24">
        <v>84428331</v>
      </c>
      <c r="S24" s="24">
        <v>164851401</v>
      </c>
      <c r="T24" s="26">
        <v>65288306</v>
      </c>
      <c r="U24" s="24">
        <v>83811260</v>
      </c>
      <c r="V24" s="24">
        <v>45236884</v>
      </c>
      <c r="W24" s="24">
        <v>37775022</v>
      </c>
      <c r="X24" s="24">
        <v>40306025</v>
      </c>
      <c r="Y24" s="24">
        <v>2807805</v>
      </c>
      <c r="Z24" s="24">
        <v>273808365</v>
      </c>
      <c r="AA24" s="24">
        <v>102516525</v>
      </c>
      <c r="AB24" s="33">
        <v>1411778724</v>
      </c>
      <c r="AC24" s="24">
        <v>18798667</v>
      </c>
      <c r="AD24" s="26">
        <v>109722719</v>
      </c>
      <c r="AE24" s="24">
        <v>17668824</v>
      </c>
      <c r="AF24" s="26">
        <v>10105596</v>
      </c>
      <c r="AG24" s="24">
        <v>5118446</v>
      </c>
      <c r="AH24" s="24">
        <v>11688459</v>
      </c>
      <c r="AI24" s="24">
        <v>9449001</v>
      </c>
      <c r="AJ24" s="26">
        <v>43705858</v>
      </c>
      <c r="AK24" s="24">
        <v>11594739</v>
      </c>
      <c r="AL24" s="24">
        <v>4276658</v>
      </c>
      <c r="AM24" s="24">
        <v>10858648</v>
      </c>
      <c r="AN24" s="24">
        <v>9197590</v>
      </c>
      <c r="AO24" s="24">
        <v>5112340</v>
      </c>
      <c r="AP24" s="24">
        <v>9902079</v>
      </c>
      <c r="AQ24" s="24">
        <v>17138756</v>
      </c>
      <c r="AR24" s="24">
        <v>5854932</v>
      </c>
      <c r="AS24" s="24">
        <v>10193593</v>
      </c>
      <c r="AT24" s="26">
        <v>19224023</v>
      </c>
      <c r="AU24" s="24">
        <v>17946899</v>
      </c>
      <c r="AV24" s="24">
        <v>37842302</v>
      </c>
      <c r="AW24" s="24">
        <v>206606300</v>
      </c>
      <c r="AX24" s="33">
        <v>10012084</v>
      </c>
      <c r="AY24" s="24">
        <v>1706669</v>
      </c>
      <c r="AZ24" s="26">
        <v>2963811</v>
      </c>
      <c r="BA24" s="24">
        <v>39009447</v>
      </c>
      <c r="BB24" s="24">
        <v>8660952</v>
      </c>
      <c r="BC24" s="24">
        <v>31133483</v>
      </c>
      <c r="BD24" s="26">
        <v>6534479</v>
      </c>
      <c r="BE24" s="24">
        <v>126435859</v>
      </c>
      <c r="BF24" s="24">
        <v>10148243</v>
      </c>
      <c r="BG24" s="24">
        <v>43926079</v>
      </c>
      <c r="BH24" s="26">
        <v>4943200</v>
      </c>
      <c r="BI24" s="24">
        <v>8733665</v>
      </c>
      <c r="BJ24" s="24">
        <v>4032983</v>
      </c>
      <c r="BK24" s="24">
        <v>33516027</v>
      </c>
      <c r="BL24" s="24">
        <v>36953359</v>
      </c>
      <c r="BM24" s="24">
        <v>9011577</v>
      </c>
      <c r="BN24" s="26">
        <v>29186486</v>
      </c>
      <c r="BO24" s="24">
        <v>53881160</v>
      </c>
      <c r="BP24" s="26">
        <v>26606188</v>
      </c>
      <c r="BQ24" s="24">
        <v>28427499</v>
      </c>
      <c r="BR24" s="26">
        <v>5098730</v>
      </c>
      <c r="BS24" s="33">
        <v>26172000</v>
      </c>
      <c r="BT24" s="24">
        <v>10711019</v>
      </c>
      <c r="BU24" s="24">
        <v>25528864</v>
      </c>
      <c r="BV24" s="26">
        <v>6489514</v>
      </c>
      <c r="BW24" s="24">
        <v>115223736</v>
      </c>
      <c r="BX24" s="26">
        <v>51273732</v>
      </c>
      <c r="BY24" s="24">
        <v>5794279</v>
      </c>
      <c r="BZ24" s="26">
        <v>43943536</v>
      </c>
      <c r="CA24" s="24">
        <v>6942854</v>
      </c>
      <c r="CB24" s="33">
        <v>4800000</v>
      </c>
      <c r="CC24" s="24">
        <v>3278650</v>
      </c>
      <c r="CD24" s="26">
        <v>2083365</v>
      </c>
      <c r="CE24" s="24">
        <v>16783877</v>
      </c>
      <c r="CF24" s="26">
        <v>27755708</v>
      </c>
      <c r="CG24" s="24">
        <v>5425471</v>
      </c>
      <c r="CH24" s="26">
        <v>32406372</v>
      </c>
      <c r="CI24" s="33">
        <v>96076573</v>
      </c>
      <c r="CJ24" s="34">
        <v>1790152</v>
      </c>
      <c r="CK24" s="24">
        <v>5541604</v>
      </c>
      <c r="CL24" s="24">
        <v>11416103</v>
      </c>
      <c r="CM24" s="24">
        <v>9557468</v>
      </c>
      <c r="CN24" s="24">
        <v>2230563</v>
      </c>
      <c r="CO24" s="24">
        <v>13164905</v>
      </c>
      <c r="CP24" s="35">
        <v>626952</v>
      </c>
      <c r="CQ24" s="24">
        <v>4660728</v>
      </c>
      <c r="CR24" s="24">
        <v>989387</v>
      </c>
      <c r="CS24" s="24">
        <v>4102577</v>
      </c>
      <c r="CT24" s="26">
        <v>2877470</v>
      </c>
      <c r="CU24" s="24">
        <v>4837752</v>
      </c>
      <c r="CV24" s="26">
        <v>18430129</v>
      </c>
      <c r="CW24" s="24">
        <v>7141091</v>
      </c>
      <c r="CX24" s="26">
        <v>9657785</v>
      </c>
      <c r="CY24" s="24">
        <v>10417673</v>
      </c>
      <c r="CZ24" s="24">
        <v>6822220</v>
      </c>
      <c r="DA24" s="24">
        <v>19174839</v>
      </c>
      <c r="DB24" s="24">
        <v>6632263</v>
      </c>
      <c r="DC24" s="24">
        <v>541448</v>
      </c>
      <c r="DD24" s="26">
        <v>69817894</v>
      </c>
      <c r="DE24" s="24">
        <v>5530506</v>
      </c>
      <c r="DF24" s="26">
        <v>15933012</v>
      </c>
      <c r="DG24" s="24">
        <v>1407001</v>
      </c>
      <c r="DH24" s="26">
        <v>628074</v>
      </c>
      <c r="DI24" s="24">
        <v>6880353</v>
      </c>
      <c r="DJ24" s="24">
        <v>21422362</v>
      </c>
      <c r="DK24" s="24">
        <v>14883803</v>
      </c>
      <c r="DL24" s="24">
        <v>11325899</v>
      </c>
      <c r="DM24" s="24">
        <v>20302901</v>
      </c>
      <c r="DN24" s="26">
        <v>556581</v>
      </c>
      <c r="DO24" s="24">
        <v>1161348</v>
      </c>
      <c r="DP24" s="24">
        <v>11206572</v>
      </c>
      <c r="DQ24" s="24">
        <v>5459915</v>
      </c>
      <c r="DR24" s="24">
        <v>2078968</v>
      </c>
      <c r="DS24" s="24">
        <v>1326627</v>
      </c>
      <c r="DT24" s="26">
        <v>2718121</v>
      </c>
      <c r="DU24" s="24">
        <v>1972277</v>
      </c>
      <c r="DV24" s="26">
        <v>12981546</v>
      </c>
      <c r="DW24" s="24">
        <v>341465</v>
      </c>
      <c r="DX24" s="24">
        <v>2545264</v>
      </c>
      <c r="DY24" s="24">
        <v>7992169</v>
      </c>
      <c r="DZ24" s="24">
        <v>12151976</v>
      </c>
      <c r="EA24" s="24">
        <v>31333962</v>
      </c>
      <c r="EB24" s="24">
        <v>29886897</v>
      </c>
      <c r="EC24" s="24">
        <v>5002100</v>
      </c>
      <c r="ED24" s="24">
        <v>587154</v>
      </c>
      <c r="EE24" s="24">
        <v>11830801</v>
      </c>
      <c r="EF24" s="26">
        <v>1883936</v>
      </c>
      <c r="EG24" s="24">
        <v>3474956</v>
      </c>
      <c r="EH24" s="24">
        <v>10213138</v>
      </c>
      <c r="EI24" s="24">
        <v>5068618</v>
      </c>
      <c r="EJ24" s="24">
        <v>3988368</v>
      </c>
      <c r="EK24" s="24">
        <v>24281433</v>
      </c>
      <c r="EL24" s="24">
        <v>45867852</v>
      </c>
      <c r="EM24" s="24">
        <v>20954852</v>
      </c>
      <c r="EN24" s="26">
        <v>1208238</v>
      </c>
      <c r="EO24" s="24">
        <v>32956300</v>
      </c>
      <c r="EP24" s="33" t="s">
        <v>201</v>
      </c>
      <c r="EQ24" s="24">
        <v>77278</v>
      </c>
      <c r="ER24" s="26">
        <v>8296582</v>
      </c>
      <c r="ES24" s="24">
        <v>219544</v>
      </c>
      <c r="ET24" s="24">
        <v>2962478</v>
      </c>
      <c r="EU24" s="24">
        <v>2356075</v>
      </c>
      <c r="EV24" s="24">
        <v>441663</v>
      </c>
      <c r="EW24" s="24">
        <v>33938</v>
      </c>
      <c r="EX24" s="26">
        <v>17539600</v>
      </c>
      <c r="EY24" s="24">
        <v>59886383</v>
      </c>
      <c r="EZ24" s="26">
        <v>2143943</v>
      </c>
      <c r="FA24" s="24">
        <v>23821199</v>
      </c>
      <c r="FB24" s="26">
        <v>97425470</v>
      </c>
      <c r="FC24" s="24">
        <v>786936</v>
      </c>
      <c r="FD24" s="26">
        <v>393616</v>
      </c>
      <c r="FE24" s="24">
        <v>11922216</v>
      </c>
      <c r="FF24" s="24">
        <v>871326</v>
      </c>
      <c r="FG24" s="24">
        <v>54446389</v>
      </c>
      <c r="FH24" s="24">
        <v>1271985</v>
      </c>
      <c r="FI24" s="24">
        <v>2422754</v>
      </c>
      <c r="FJ24" s="24">
        <v>3283344</v>
      </c>
      <c r="FK24" s="24">
        <v>3551175</v>
      </c>
      <c r="FL24" s="24">
        <v>16741375</v>
      </c>
      <c r="FM24" s="24">
        <v>1399950</v>
      </c>
      <c r="FN24" s="24">
        <v>437893</v>
      </c>
      <c r="FO24" s="24">
        <v>39270</v>
      </c>
      <c r="FP24" s="24">
        <v>98408</v>
      </c>
      <c r="FQ24" s="24">
        <v>287411</v>
      </c>
      <c r="FR24" s="26">
        <v>772443</v>
      </c>
      <c r="FS24" s="24">
        <v>98010</v>
      </c>
      <c r="FT24" s="24">
        <v>38139</v>
      </c>
      <c r="FU24" s="24">
        <v>8963009</v>
      </c>
      <c r="FV24" s="33">
        <v>104000</v>
      </c>
      <c r="FW24" s="24">
        <v>398312</v>
      </c>
      <c r="FX24" s="26">
        <v>897095</v>
      </c>
      <c r="FY24" s="24">
        <v>183712</v>
      </c>
      <c r="FZ24" s="24">
        <v>1320812</v>
      </c>
      <c r="GA24" s="24">
        <v>112576</v>
      </c>
      <c r="GB24" s="24">
        <v>7285750</v>
      </c>
      <c r="GC24" s="24">
        <v>72004</v>
      </c>
      <c r="GD24" s="24">
        <v>53237</v>
      </c>
      <c r="GE24" s="24">
        <v>56780</v>
      </c>
      <c r="GF24" s="36">
        <v>528</v>
      </c>
      <c r="GG24" s="30">
        <v>598682</v>
      </c>
    </row>
    <row r="25" spans="2:189" x14ac:dyDescent="0.3">
      <c r="B25" s="28" t="s">
        <v>193</v>
      </c>
      <c r="C25" s="23" t="s">
        <v>198</v>
      </c>
      <c r="D25" s="25" t="s">
        <v>199</v>
      </c>
      <c r="E25" s="23" t="s">
        <v>195</v>
      </c>
      <c r="F25" s="23" t="s">
        <v>196</v>
      </c>
      <c r="G25" s="23" t="s">
        <v>197</v>
      </c>
      <c r="H25" s="25" t="s">
        <v>198</v>
      </c>
      <c r="I25" s="23" t="s">
        <v>199</v>
      </c>
      <c r="J25" s="25" t="s">
        <v>199</v>
      </c>
      <c r="K25" s="23" t="s">
        <v>196</v>
      </c>
      <c r="L25" s="25" t="s">
        <v>195</v>
      </c>
      <c r="M25" s="23" t="s">
        <v>195</v>
      </c>
      <c r="N25" s="25" t="s">
        <v>196</v>
      </c>
      <c r="O25" s="23" t="s">
        <v>195</v>
      </c>
      <c r="P25" s="25" t="s">
        <v>199</v>
      </c>
      <c r="Q25" s="23" t="s">
        <v>196</v>
      </c>
      <c r="R25" s="23" t="s">
        <v>195</v>
      </c>
      <c r="S25" s="23" t="s">
        <v>195</v>
      </c>
      <c r="T25" s="25" t="s">
        <v>196</v>
      </c>
      <c r="U25" s="23" t="s">
        <v>196</v>
      </c>
      <c r="V25" s="23" t="s">
        <v>199</v>
      </c>
      <c r="W25" s="23" t="s">
        <v>198</v>
      </c>
      <c r="X25" s="23" t="s">
        <v>195</v>
      </c>
      <c r="Y25" s="23" t="s">
        <v>195</v>
      </c>
      <c r="Z25" s="23" t="s">
        <v>195</v>
      </c>
      <c r="AA25" s="23" t="s">
        <v>197</v>
      </c>
      <c r="AB25" s="23" t="s">
        <v>197</v>
      </c>
      <c r="AC25" s="23" t="s">
        <v>195</v>
      </c>
      <c r="AD25" s="25" t="s">
        <v>195</v>
      </c>
      <c r="AE25" s="23" t="s">
        <v>199</v>
      </c>
      <c r="AF25" s="25" t="s">
        <v>196</v>
      </c>
      <c r="AG25" s="23" t="s">
        <v>195</v>
      </c>
      <c r="AH25" s="23" t="s">
        <v>199</v>
      </c>
      <c r="AI25" s="23" t="s">
        <v>196</v>
      </c>
      <c r="AJ25" s="25" t="s">
        <v>196</v>
      </c>
      <c r="AK25" s="23" t="s">
        <v>196</v>
      </c>
      <c r="AL25" s="23" t="s">
        <v>195</v>
      </c>
      <c r="AM25" s="23" t="s">
        <v>198</v>
      </c>
      <c r="AN25" s="23" t="s">
        <v>195</v>
      </c>
      <c r="AO25" s="23" t="s">
        <v>195</v>
      </c>
      <c r="AP25" s="23" t="s">
        <v>195</v>
      </c>
      <c r="AQ25" s="23" t="s">
        <v>196</v>
      </c>
      <c r="AR25" s="23" t="s">
        <v>195</v>
      </c>
      <c r="AS25" s="23" t="s">
        <v>196</v>
      </c>
      <c r="AT25" s="25" t="s">
        <v>196</v>
      </c>
      <c r="AU25" s="23" t="s">
        <v>198</v>
      </c>
      <c r="AV25" s="23" t="s">
        <v>196</v>
      </c>
      <c r="AW25" s="23" t="s">
        <v>197</v>
      </c>
      <c r="AX25" s="23" t="s">
        <v>198</v>
      </c>
      <c r="AY25" s="23" t="s">
        <v>195</v>
      </c>
      <c r="AZ25" s="25" t="s">
        <v>195</v>
      </c>
      <c r="BA25" s="23" t="s">
        <v>195</v>
      </c>
      <c r="BB25" s="23" t="s">
        <v>196</v>
      </c>
      <c r="BC25" s="23" t="s">
        <v>197</v>
      </c>
      <c r="BD25" s="25" t="s">
        <v>195</v>
      </c>
      <c r="BE25" s="23" t="s">
        <v>195</v>
      </c>
      <c r="BF25" s="23" t="s">
        <v>195</v>
      </c>
      <c r="BG25" s="23" t="s">
        <v>197</v>
      </c>
      <c r="BH25" s="25" t="s">
        <v>196</v>
      </c>
      <c r="BI25" s="23" t="s">
        <v>196</v>
      </c>
      <c r="BJ25" s="23" t="s">
        <v>196</v>
      </c>
      <c r="BK25" s="23" t="s">
        <v>195</v>
      </c>
      <c r="BL25" s="23" t="s">
        <v>197</v>
      </c>
      <c r="BM25" s="23" t="s">
        <v>196</v>
      </c>
      <c r="BN25" s="25" t="s">
        <v>195</v>
      </c>
      <c r="BO25" s="23" t="s">
        <v>197</v>
      </c>
      <c r="BP25" s="25" t="s">
        <v>197</v>
      </c>
      <c r="BQ25" s="23" t="s">
        <v>199</v>
      </c>
      <c r="BR25" s="25" t="s">
        <v>198</v>
      </c>
      <c r="BS25" s="23" t="s">
        <v>197</v>
      </c>
      <c r="BT25" s="23" t="s">
        <v>196</v>
      </c>
      <c r="BU25" s="23" t="s">
        <v>200</v>
      </c>
      <c r="BV25" s="25" t="s">
        <v>198</v>
      </c>
      <c r="BW25" s="23" t="s">
        <v>197</v>
      </c>
      <c r="BX25" s="25" t="s">
        <v>195</v>
      </c>
      <c r="BY25" s="23" t="s">
        <v>196</v>
      </c>
      <c r="BZ25" s="25" t="s">
        <v>197</v>
      </c>
      <c r="CA25" s="23" t="s">
        <v>196</v>
      </c>
      <c r="CB25" s="23" t="s">
        <v>195</v>
      </c>
      <c r="CC25" s="23" t="s">
        <v>196</v>
      </c>
      <c r="CD25" s="25" t="s">
        <v>196</v>
      </c>
      <c r="CE25" s="23" t="s">
        <v>197</v>
      </c>
      <c r="CF25" s="25" t="s">
        <v>197</v>
      </c>
      <c r="CG25" s="23" t="s">
        <v>196</v>
      </c>
      <c r="CH25" s="25" t="s">
        <v>195</v>
      </c>
      <c r="CI25" s="23" t="s">
        <v>197</v>
      </c>
      <c r="CJ25" s="25" t="s">
        <v>196</v>
      </c>
      <c r="CK25" s="23" t="s">
        <v>196</v>
      </c>
      <c r="CL25" s="23" t="s">
        <v>198</v>
      </c>
      <c r="CM25" s="23" t="s">
        <v>195</v>
      </c>
      <c r="CN25" s="23" t="s">
        <v>197</v>
      </c>
      <c r="CO25" s="23" t="s">
        <v>197</v>
      </c>
      <c r="CP25" s="23" t="s">
        <v>196</v>
      </c>
      <c r="CQ25" s="23" t="s">
        <v>197</v>
      </c>
      <c r="CR25" s="23" t="s">
        <v>197</v>
      </c>
      <c r="CS25" s="23" t="s">
        <v>196</v>
      </c>
      <c r="CT25" s="25" t="s">
        <v>196</v>
      </c>
      <c r="CU25" s="23" t="s">
        <v>197</v>
      </c>
      <c r="CV25" s="25" t="s">
        <v>197</v>
      </c>
      <c r="CW25" s="23" t="s">
        <v>199</v>
      </c>
      <c r="CX25" s="25" t="s">
        <v>196</v>
      </c>
      <c r="CY25" s="23" t="s">
        <v>196</v>
      </c>
      <c r="CZ25" s="23" t="s">
        <v>195</v>
      </c>
      <c r="DA25" s="23" t="s">
        <v>197</v>
      </c>
      <c r="DB25" s="23" t="s">
        <v>198</v>
      </c>
      <c r="DC25" s="23" t="s">
        <v>195</v>
      </c>
      <c r="DD25" s="25" t="s">
        <v>195</v>
      </c>
      <c r="DE25" s="23" t="s">
        <v>197</v>
      </c>
      <c r="DF25" s="25" t="s">
        <v>197</v>
      </c>
      <c r="DG25" s="23" t="s">
        <v>197</v>
      </c>
      <c r="DH25" s="25" t="s">
        <v>196</v>
      </c>
      <c r="DI25" s="23" t="s">
        <v>197</v>
      </c>
      <c r="DJ25" s="23" t="s">
        <v>195</v>
      </c>
      <c r="DK25" s="23" t="s">
        <v>197</v>
      </c>
      <c r="DL25" s="23" t="s">
        <v>198</v>
      </c>
      <c r="DM25" s="23" t="s">
        <v>197</v>
      </c>
      <c r="DN25" s="25" t="s">
        <v>197</v>
      </c>
      <c r="DO25" s="23" t="s">
        <v>197</v>
      </c>
      <c r="DP25" s="23" t="s">
        <v>197</v>
      </c>
      <c r="DQ25" s="23" t="s">
        <v>196</v>
      </c>
      <c r="DR25" s="23" t="s">
        <v>196</v>
      </c>
      <c r="DS25" s="23" t="s">
        <v>196</v>
      </c>
      <c r="DT25" s="25" t="s">
        <v>196</v>
      </c>
      <c r="DU25" s="23" t="s">
        <v>197</v>
      </c>
      <c r="DV25" s="25" t="s">
        <v>197</v>
      </c>
      <c r="DW25" s="23" t="s">
        <v>196</v>
      </c>
      <c r="DX25" s="23" t="s">
        <v>197</v>
      </c>
      <c r="DY25" s="23" t="s">
        <v>197</v>
      </c>
      <c r="DZ25" s="23" t="s">
        <v>197</v>
      </c>
      <c r="EA25" s="23" t="s">
        <v>197</v>
      </c>
      <c r="EB25" s="23" t="s">
        <v>195</v>
      </c>
      <c r="EC25" s="23" t="s">
        <v>200</v>
      </c>
      <c r="ED25" s="23" t="s">
        <v>199</v>
      </c>
      <c r="EE25" s="23" t="s">
        <v>197</v>
      </c>
      <c r="EF25" s="25" t="s">
        <v>196</v>
      </c>
      <c r="EG25" s="23" t="s">
        <v>199</v>
      </c>
      <c r="EH25" s="23" t="s">
        <v>195</v>
      </c>
      <c r="EI25" s="23" t="s">
        <v>197</v>
      </c>
      <c r="EJ25" s="23" t="s">
        <v>195</v>
      </c>
      <c r="EK25" s="23" t="s">
        <v>197</v>
      </c>
      <c r="EL25" s="23" t="s">
        <v>197</v>
      </c>
      <c r="EM25" s="23" t="s">
        <v>197</v>
      </c>
      <c r="EN25" s="25" t="s">
        <v>195</v>
      </c>
      <c r="EO25" s="23" t="s">
        <v>197</v>
      </c>
      <c r="EP25" s="23" t="s">
        <v>197</v>
      </c>
      <c r="EQ25" s="23" t="s">
        <v>196</v>
      </c>
      <c r="ER25" s="25" t="s">
        <v>197</v>
      </c>
      <c r="ES25" s="23" t="s">
        <v>197</v>
      </c>
      <c r="ET25" s="23" t="s">
        <v>198</v>
      </c>
      <c r="EU25" s="23" t="s">
        <v>197</v>
      </c>
      <c r="EV25" s="23" t="s">
        <v>196</v>
      </c>
      <c r="EW25" s="23" t="s">
        <v>196</v>
      </c>
      <c r="EX25" s="25" t="s">
        <v>195</v>
      </c>
      <c r="EY25" s="23" t="s">
        <v>197</v>
      </c>
      <c r="EZ25" s="25" t="s">
        <v>197</v>
      </c>
      <c r="FA25" s="23" t="s">
        <v>195</v>
      </c>
      <c r="FB25" s="25" t="s">
        <v>195</v>
      </c>
      <c r="FC25" s="23" t="s">
        <v>199</v>
      </c>
      <c r="FD25" s="25" t="s">
        <v>198</v>
      </c>
      <c r="FE25" s="23" t="s">
        <v>197</v>
      </c>
      <c r="FF25" s="23" t="s">
        <v>197</v>
      </c>
      <c r="FG25" s="23" t="s">
        <v>195</v>
      </c>
      <c r="FH25" s="23" t="s">
        <v>197</v>
      </c>
      <c r="FI25" s="23" t="s">
        <v>197</v>
      </c>
      <c r="FJ25" s="23" t="s">
        <v>195</v>
      </c>
      <c r="FK25" s="23" t="s">
        <v>197</v>
      </c>
      <c r="FL25" s="23" t="s">
        <v>195</v>
      </c>
      <c r="FM25" s="23" t="s">
        <v>198</v>
      </c>
      <c r="FN25" s="23" t="s">
        <v>195</v>
      </c>
      <c r="FO25" s="23" t="s">
        <v>196</v>
      </c>
      <c r="FP25" s="23" t="s">
        <v>197</v>
      </c>
      <c r="FQ25" s="23" t="s">
        <v>198</v>
      </c>
      <c r="FR25" s="25" t="s">
        <v>195</v>
      </c>
      <c r="FS25" s="23" t="s">
        <v>198</v>
      </c>
      <c r="FT25" s="23" t="s">
        <v>196</v>
      </c>
      <c r="FU25" s="23" t="s">
        <v>200</v>
      </c>
      <c r="FV25" s="23" t="s">
        <v>198</v>
      </c>
      <c r="FW25" s="23" t="s">
        <v>198</v>
      </c>
      <c r="FX25" s="25" t="s">
        <v>200</v>
      </c>
      <c r="FY25" s="23" t="s">
        <v>198</v>
      </c>
      <c r="FZ25" s="23" t="s">
        <v>195</v>
      </c>
      <c r="GA25" s="23" t="s">
        <v>198</v>
      </c>
      <c r="GB25" s="23" t="s">
        <v>195</v>
      </c>
      <c r="GC25" s="23" t="s">
        <v>198</v>
      </c>
      <c r="GD25" s="23" t="s">
        <v>198</v>
      </c>
      <c r="GE25" s="23" t="s">
        <v>198</v>
      </c>
      <c r="GF25" s="25" t="s">
        <v>196</v>
      </c>
      <c r="GG25" s="38" t="s">
        <v>197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Covid-19 Dashboard</vt:lpstr>
      <vt:lpstr>Visualisation</vt:lpstr>
      <vt:lpstr>Covid-19 data</vt:lpstr>
      <vt:lpstr>Vlookup &amp; Hlookup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Mrinal Das</dc:creator>
  <cp:lastModifiedBy>Anuska Biswas</cp:lastModifiedBy>
  <dcterms:created xsi:type="dcterms:W3CDTF">2025-07-17T13:38:16Z</dcterms:created>
  <dcterms:modified xsi:type="dcterms:W3CDTF">2026-08-07T14:29:37Z</dcterms:modified>
</cp:coreProperties>
</file>